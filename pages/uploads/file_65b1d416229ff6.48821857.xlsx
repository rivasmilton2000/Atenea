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vas\Desktop\Trabajos IVA\"/>
    </mc:Choice>
  </mc:AlternateContent>
  <xr:revisionPtr revIDLastSave="0" documentId="13_ncr:1_{77D2C243-C315-411A-8BB7-CC85A11F76E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TAS A CONT." sheetId="1" r:id="rId1"/>
    <sheet name="COMPRAS" sheetId="4" r:id="rId2"/>
    <sheet name="VENTAS A CONSUMIDORES" sheetId="2" r:id="rId3"/>
    <sheet name="FEBRERO" sheetId="17" r:id="rId4"/>
    <sheet name="ENERO" sheetId="16" r:id="rId5"/>
    <sheet name="clave" sheetId="6" r:id="rId6"/>
    <sheet name="Abril" sheetId="1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872" i="4" l="1"/>
  <c r="J872" i="4"/>
  <c r="L870" i="4"/>
  <c r="O870" i="4" s="1"/>
  <c r="L869" i="4"/>
  <c r="O869" i="4" s="1"/>
  <c r="L868" i="4"/>
  <c r="O868" i="4" s="1"/>
  <c r="L867" i="4"/>
  <c r="O867" i="4" s="1"/>
  <c r="L866" i="4"/>
  <c r="L865" i="4"/>
  <c r="O865" i="4" s="1"/>
  <c r="L864" i="4"/>
  <c r="O864" i="4" s="1"/>
  <c r="L863" i="4"/>
  <c r="O863" i="4" s="1"/>
  <c r="L862" i="4"/>
  <c r="O862" i="4" s="1"/>
  <c r="L861" i="4"/>
  <c r="O861" i="4" s="1"/>
  <c r="L860" i="4"/>
  <c r="O860" i="4" s="1"/>
  <c r="L859" i="4"/>
  <c r="O859" i="4" s="1"/>
  <c r="L858" i="4"/>
  <c r="O858" i="4" s="1"/>
  <c r="L857" i="4"/>
  <c r="O857" i="4" s="1"/>
  <c r="L856" i="4"/>
  <c r="O856" i="4" s="1"/>
  <c r="L855" i="4"/>
  <c r="O855" i="4" s="1"/>
  <c r="L854" i="4"/>
  <c r="O854" i="4" s="1"/>
  <c r="L853" i="4"/>
  <c r="O853" i="4" s="1"/>
  <c r="L852" i="4"/>
  <c r="O852" i="4" s="1"/>
  <c r="O851" i="4"/>
  <c r="L851" i="4"/>
  <c r="L850" i="4"/>
  <c r="O850" i="4" s="1"/>
  <c r="L849" i="4"/>
  <c r="O849" i="4" s="1"/>
  <c r="M872" i="4"/>
  <c r="L848" i="4"/>
  <c r="O848" i="4" s="1"/>
  <c r="L847" i="4"/>
  <c r="O847" i="4" s="1"/>
  <c r="L846" i="4"/>
  <c r="O846" i="4" s="1"/>
  <c r="L845" i="4"/>
  <c r="O845" i="4" s="1"/>
  <c r="L844" i="4"/>
  <c r="O844" i="4" s="1"/>
  <c r="L843" i="4"/>
  <c r="O843" i="4" s="1"/>
  <c r="L842" i="4"/>
  <c r="O842" i="4" s="1"/>
  <c r="L841" i="4"/>
  <c r="O841" i="4" s="1"/>
  <c r="L840" i="4"/>
  <c r="O840" i="4" s="1"/>
  <c r="L821" i="4"/>
  <c r="L827" i="4"/>
  <c r="O827" i="4" s="1"/>
  <c r="L826" i="4"/>
  <c r="O826" i="4" s="1"/>
  <c r="L825" i="4"/>
  <c r="O825" i="4" s="1"/>
  <c r="L820" i="4"/>
  <c r="O866" i="4" l="1"/>
  <c r="L872" i="4"/>
  <c r="O872" i="4"/>
  <c r="L876" i="4"/>
  <c r="L877" i="4" s="1"/>
  <c r="C321" i="16"/>
  <c r="C318" i="16"/>
  <c r="C254" i="16"/>
  <c r="F730" i="2"/>
  <c r="E730" i="2"/>
  <c r="G732" i="2" s="1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N816" i="4"/>
  <c r="J816" i="4"/>
  <c r="L794" i="4"/>
  <c r="O794" i="4" s="1"/>
  <c r="L793" i="4"/>
  <c r="M792" i="4"/>
  <c r="L792" i="4"/>
  <c r="L791" i="4"/>
  <c r="O791" i="4" s="1"/>
  <c r="L789" i="4"/>
  <c r="O789" i="4" s="1"/>
  <c r="L785" i="4"/>
  <c r="L814" i="4"/>
  <c r="O814" i="4" s="1"/>
  <c r="L813" i="4"/>
  <c r="O813" i="4" s="1"/>
  <c r="M812" i="4"/>
  <c r="M810" i="4"/>
  <c r="L808" i="4"/>
  <c r="O808" i="4" s="1"/>
  <c r="L807" i="4"/>
  <c r="M804" i="4"/>
  <c r="L804" i="4"/>
  <c r="L803" i="4"/>
  <c r="O803" i="4" s="1"/>
  <c r="M800" i="4"/>
  <c r="L800" i="4"/>
  <c r="L790" i="4"/>
  <c r="O790" i="4" s="1"/>
  <c r="L788" i="4"/>
  <c r="O788" i="4" s="1"/>
  <c r="L812" i="4"/>
  <c r="L811" i="4"/>
  <c r="O811" i="4" s="1"/>
  <c r="L810" i="4"/>
  <c r="L809" i="4"/>
  <c r="O809" i="4" s="1"/>
  <c r="L806" i="4"/>
  <c r="O806" i="4" s="1"/>
  <c r="L805" i="4"/>
  <c r="O805" i="4" s="1"/>
  <c r="L802" i="4"/>
  <c r="O802" i="4" s="1"/>
  <c r="L801" i="4"/>
  <c r="O801" i="4" s="1"/>
  <c r="L799" i="4"/>
  <c r="O799" i="4" s="1"/>
  <c r="L798" i="4"/>
  <c r="O798" i="4" s="1"/>
  <c r="L797" i="4"/>
  <c r="O797" i="4" s="1"/>
  <c r="L796" i="4"/>
  <c r="O796" i="4" s="1"/>
  <c r="L795" i="4"/>
  <c r="O795" i="4" s="1"/>
  <c r="L787" i="4"/>
  <c r="O787" i="4" s="1"/>
  <c r="L786" i="4"/>
  <c r="L784" i="4"/>
  <c r="O784" i="4" s="1"/>
  <c r="J765" i="4"/>
  <c r="L763" i="4"/>
  <c r="O763" i="4" s="1"/>
  <c r="L762" i="4"/>
  <c r="O762" i="4" s="1"/>
  <c r="L761" i="4"/>
  <c r="O761" i="4" s="1"/>
  <c r="L760" i="4"/>
  <c r="O760" i="4" s="1"/>
  <c r="L759" i="4"/>
  <c r="O759" i="4" s="1"/>
  <c r="L758" i="4"/>
  <c r="O758" i="4" s="1"/>
  <c r="L757" i="4"/>
  <c r="O757" i="4" s="1"/>
  <c r="L755" i="4"/>
  <c r="O755" i="4" s="1"/>
  <c r="L754" i="4"/>
  <c r="O754" i="4" s="1"/>
  <c r="L753" i="4"/>
  <c r="O753" i="4" s="1"/>
  <c r="L752" i="4"/>
  <c r="O752" i="4" s="1"/>
  <c r="L751" i="4"/>
  <c r="O751" i="4" s="1"/>
  <c r="L756" i="4"/>
  <c r="O756" i="4" s="1"/>
  <c r="L750" i="4"/>
  <c r="O750" i="4" s="1"/>
  <c r="L749" i="4"/>
  <c r="O749" i="4" s="1"/>
  <c r="L748" i="4"/>
  <c r="O748" i="4" s="1"/>
  <c r="L731" i="4"/>
  <c r="O731" i="4" s="1"/>
  <c r="N765" i="4"/>
  <c r="M747" i="4"/>
  <c r="M734" i="4"/>
  <c r="L747" i="4"/>
  <c r="L746" i="4"/>
  <c r="O746" i="4" s="1"/>
  <c r="L745" i="4"/>
  <c r="O745" i="4" s="1"/>
  <c r="R744" i="4"/>
  <c r="L744" i="4"/>
  <c r="O744" i="4" s="1"/>
  <c r="L743" i="4"/>
  <c r="O743" i="4" s="1"/>
  <c r="L742" i="4"/>
  <c r="O742" i="4" s="1"/>
  <c r="L741" i="4"/>
  <c r="O741" i="4" s="1"/>
  <c r="L740" i="4"/>
  <c r="O740" i="4" s="1"/>
  <c r="L739" i="4"/>
  <c r="O739" i="4" s="1"/>
  <c r="L738" i="4"/>
  <c r="O738" i="4" s="1"/>
  <c r="L737" i="4"/>
  <c r="O737" i="4" s="1"/>
  <c r="L736" i="4"/>
  <c r="O736" i="4" s="1"/>
  <c r="L735" i="4"/>
  <c r="O735" i="4" s="1"/>
  <c r="L734" i="4"/>
  <c r="L733" i="4"/>
  <c r="O733" i="4" s="1"/>
  <c r="L732" i="4"/>
  <c r="O732" i="4" s="1"/>
  <c r="L730" i="4"/>
  <c r="O730" i="4" s="1"/>
  <c r="L729" i="4"/>
  <c r="O729" i="4" s="1"/>
  <c r="L728" i="4"/>
  <c r="O728" i="4" s="1"/>
  <c r="M727" i="4"/>
  <c r="L727" i="4"/>
  <c r="L726" i="4"/>
  <c r="O726" i="4" s="1"/>
  <c r="M725" i="4"/>
  <c r="L725" i="4"/>
  <c r="L724" i="4"/>
  <c r="O724" i="4" s="1"/>
  <c r="L723" i="4"/>
  <c r="O723" i="4" s="1"/>
  <c r="L714" i="4"/>
  <c r="O714" i="4" s="1"/>
  <c r="G667" i="15"/>
  <c r="G680" i="2"/>
  <c r="G679" i="2"/>
  <c r="G678" i="2"/>
  <c r="G677" i="2"/>
  <c r="G676" i="2"/>
  <c r="G675" i="2"/>
  <c r="G674" i="2"/>
  <c r="L709" i="4"/>
  <c r="O709" i="4" s="1"/>
  <c r="L722" i="4"/>
  <c r="O722" i="4" s="1"/>
  <c r="L721" i="4"/>
  <c r="O721" i="4" s="1"/>
  <c r="L720" i="4"/>
  <c r="O720" i="4" s="1"/>
  <c r="L719" i="4"/>
  <c r="O719" i="4" s="1"/>
  <c r="L718" i="4"/>
  <c r="O718" i="4" s="1"/>
  <c r="L717" i="4"/>
  <c r="O717" i="4" s="1"/>
  <c r="L716" i="4"/>
  <c r="O716" i="4" s="1"/>
  <c r="L715" i="4"/>
  <c r="O715" i="4" s="1"/>
  <c r="L713" i="4"/>
  <c r="O713" i="4" s="1"/>
  <c r="L712" i="4"/>
  <c r="L711" i="4"/>
  <c r="O711" i="4" s="1"/>
  <c r="L710" i="4"/>
  <c r="O710" i="4" s="1"/>
  <c r="L708" i="4"/>
  <c r="O708" i="4" s="1"/>
  <c r="L707" i="4"/>
  <c r="O707" i="4" s="1"/>
  <c r="F682" i="2"/>
  <c r="E682" i="2"/>
  <c r="G684" i="2" s="1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C825" i="15"/>
  <c r="G730" i="2" l="1"/>
  <c r="G733" i="2"/>
  <c r="G734" i="2" s="1"/>
  <c r="M816" i="4"/>
  <c r="L816" i="4"/>
  <c r="M765" i="4"/>
  <c r="O793" i="4"/>
  <c r="O792" i="4"/>
  <c r="O812" i="4"/>
  <c r="O810" i="4"/>
  <c r="O785" i="4"/>
  <c r="O807" i="4"/>
  <c r="O804" i="4"/>
  <c r="O800" i="4"/>
  <c r="O786" i="4"/>
  <c r="L765" i="4"/>
  <c r="O747" i="4"/>
  <c r="O734" i="4"/>
  <c r="O727" i="4"/>
  <c r="O725" i="4"/>
  <c r="O712" i="4"/>
  <c r="G682" i="2"/>
  <c r="G685" i="2"/>
  <c r="G686" i="2" s="1"/>
  <c r="M685" i="4"/>
  <c r="J685" i="4"/>
  <c r="L684" i="4"/>
  <c r="O684" i="4" s="1"/>
  <c r="L683" i="4"/>
  <c r="O683" i="4" s="1"/>
  <c r="L682" i="4"/>
  <c r="O682" i="4" s="1"/>
  <c r="L681" i="4"/>
  <c r="O681" i="4" s="1"/>
  <c r="N685" i="4"/>
  <c r="L680" i="4"/>
  <c r="O680" i="4" s="1"/>
  <c r="L679" i="4"/>
  <c r="O679" i="4" s="1"/>
  <c r="L678" i="4"/>
  <c r="O678" i="4" s="1"/>
  <c r="L677" i="4"/>
  <c r="O677" i="4" s="1"/>
  <c r="L676" i="4"/>
  <c r="O676" i="4" s="1"/>
  <c r="L675" i="4"/>
  <c r="O675" i="4" s="1"/>
  <c r="L674" i="4"/>
  <c r="O674" i="4" s="1"/>
  <c r="L673" i="4"/>
  <c r="O673" i="4" s="1"/>
  <c r="L672" i="4"/>
  <c r="O672" i="4" s="1"/>
  <c r="L671" i="4"/>
  <c r="O671" i="4" s="1"/>
  <c r="L670" i="4"/>
  <c r="O670" i="4" s="1"/>
  <c r="L669" i="4"/>
  <c r="O669" i="4" s="1"/>
  <c r="L668" i="4"/>
  <c r="O668" i="4" s="1"/>
  <c r="L667" i="4"/>
  <c r="O667" i="4" s="1"/>
  <c r="L666" i="4"/>
  <c r="O666" i="4" s="1"/>
  <c r="L665" i="4"/>
  <c r="O665" i="4" s="1"/>
  <c r="L664" i="4"/>
  <c r="O664" i="4" s="1"/>
  <c r="L663" i="4"/>
  <c r="O663" i="4" s="1"/>
  <c r="L662" i="4"/>
  <c r="L661" i="4"/>
  <c r="O661" i="4" s="1"/>
  <c r="L660" i="4"/>
  <c r="O660" i="4" s="1"/>
  <c r="L659" i="4"/>
  <c r="O659" i="4" s="1"/>
  <c r="L658" i="4"/>
  <c r="O658" i="4" s="1"/>
  <c r="L657" i="4"/>
  <c r="C596" i="15"/>
  <c r="G614" i="2"/>
  <c r="D532" i="15"/>
  <c r="D512" i="15"/>
  <c r="D491" i="15"/>
  <c r="D479" i="15"/>
  <c r="D463" i="15"/>
  <c r="D444" i="15"/>
  <c r="D426" i="15"/>
  <c r="D409" i="15"/>
  <c r="F632" i="2"/>
  <c r="E632" i="2"/>
  <c r="G634" i="2" s="1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3" i="2"/>
  <c r="G612" i="2"/>
  <c r="G611" i="2"/>
  <c r="G610" i="2"/>
  <c r="G609" i="2"/>
  <c r="G608" i="2"/>
  <c r="G607" i="2"/>
  <c r="C533" i="15"/>
  <c r="J635" i="4"/>
  <c r="L633" i="4"/>
  <c r="O633" i="4" s="1"/>
  <c r="L632" i="4"/>
  <c r="O632" i="4" s="1"/>
  <c r="L629" i="4"/>
  <c r="O629" i="4" s="1"/>
  <c r="L622" i="4"/>
  <c r="O622" i="4" s="1"/>
  <c r="N635" i="4"/>
  <c r="M635" i="4"/>
  <c r="L631" i="4"/>
  <c r="O631" i="4" s="1"/>
  <c r="L630" i="4"/>
  <c r="O630" i="4" s="1"/>
  <c r="L628" i="4"/>
  <c r="O628" i="4" s="1"/>
  <c r="L627" i="4"/>
  <c r="O627" i="4" s="1"/>
  <c r="L626" i="4"/>
  <c r="O626" i="4" s="1"/>
  <c r="L625" i="4"/>
  <c r="O625" i="4" s="1"/>
  <c r="L624" i="4"/>
  <c r="O624" i="4" s="1"/>
  <c r="L623" i="4"/>
  <c r="O623" i="4" s="1"/>
  <c r="L621" i="4"/>
  <c r="O621" i="4" s="1"/>
  <c r="L620" i="4"/>
  <c r="O620" i="4" s="1"/>
  <c r="L619" i="4"/>
  <c r="O619" i="4" s="1"/>
  <c r="L618" i="4"/>
  <c r="O618" i="4" s="1"/>
  <c r="L617" i="4"/>
  <c r="O617" i="4" s="1"/>
  <c r="L616" i="4"/>
  <c r="O616" i="4" s="1"/>
  <c r="L615" i="4"/>
  <c r="O615" i="4" s="1"/>
  <c r="L614" i="4"/>
  <c r="O614" i="4" s="1"/>
  <c r="L613" i="4"/>
  <c r="O613" i="4" s="1"/>
  <c r="L612" i="4"/>
  <c r="O612" i="4" s="1"/>
  <c r="L611" i="4"/>
  <c r="O611" i="4" s="1"/>
  <c r="L610" i="4"/>
  <c r="O610" i="4" s="1"/>
  <c r="L609" i="4"/>
  <c r="O609" i="4" s="1"/>
  <c r="L608" i="4"/>
  <c r="O608" i="4" s="1"/>
  <c r="L607" i="4"/>
  <c r="O607" i="4" s="1"/>
  <c r="E585" i="2"/>
  <c r="G587" i="2" s="1"/>
  <c r="F585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D376" i="15"/>
  <c r="D350" i="15"/>
  <c r="D329" i="15"/>
  <c r="D383" i="15" s="1"/>
  <c r="D385" i="15" s="1"/>
  <c r="D307" i="15"/>
  <c r="D265" i="15"/>
  <c r="D244" i="15"/>
  <c r="D225" i="15"/>
  <c r="H268" i="15"/>
  <c r="H265" i="15"/>
  <c r="H262" i="15"/>
  <c r="H259" i="15"/>
  <c r="H257" i="15"/>
  <c r="H255" i="15"/>
  <c r="H253" i="15"/>
  <c r="H251" i="15"/>
  <c r="H248" i="15"/>
  <c r="H246" i="15"/>
  <c r="H244" i="15"/>
  <c r="H241" i="15"/>
  <c r="H239" i="15"/>
  <c r="H233" i="15"/>
  <c r="H230" i="15"/>
  <c r="H228" i="15"/>
  <c r="H226" i="15"/>
  <c r="H223" i="15"/>
  <c r="H221" i="15"/>
  <c r="H218" i="15"/>
  <c r="H214" i="15"/>
  <c r="H211" i="15"/>
  <c r="H209" i="15"/>
  <c r="H207" i="15"/>
  <c r="H269" i="15" s="1"/>
  <c r="D384" i="15" s="1"/>
  <c r="G269" i="15"/>
  <c r="C383" i="15"/>
  <c r="J587" i="4"/>
  <c r="L580" i="4"/>
  <c r="O580" i="4" s="1"/>
  <c r="L579" i="4"/>
  <c r="O579" i="4" s="1"/>
  <c r="L578" i="4"/>
  <c r="O578" i="4" s="1"/>
  <c r="L577" i="4"/>
  <c r="O577" i="4" s="1"/>
  <c r="L576" i="4"/>
  <c r="O576" i="4" s="1"/>
  <c r="O816" i="4" l="1"/>
  <c r="O765" i="4"/>
  <c r="L685" i="4"/>
  <c r="G585" i="2"/>
  <c r="L637" i="4"/>
  <c r="L638" i="4" s="1"/>
  <c r="L635" i="4"/>
  <c r="O662" i="4"/>
  <c r="O657" i="4"/>
  <c r="G635" i="2"/>
  <c r="G636" i="2" s="1"/>
  <c r="G632" i="2"/>
  <c r="O635" i="4"/>
  <c r="G588" i="2"/>
  <c r="G589" i="2" s="1"/>
  <c r="N587" i="4"/>
  <c r="M587" i="4"/>
  <c r="L575" i="4"/>
  <c r="O575" i="4" s="1"/>
  <c r="L574" i="4"/>
  <c r="O574" i="4" s="1"/>
  <c r="L573" i="4"/>
  <c r="O573" i="4" s="1"/>
  <c r="L572" i="4"/>
  <c r="O572" i="4" s="1"/>
  <c r="L571" i="4"/>
  <c r="O571" i="4" s="1"/>
  <c r="L570" i="4"/>
  <c r="O570" i="4" s="1"/>
  <c r="L569" i="4"/>
  <c r="O569" i="4" s="1"/>
  <c r="L568" i="4"/>
  <c r="O568" i="4" s="1"/>
  <c r="L567" i="4"/>
  <c r="O567" i="4" s="1"/>
  <c r="L566" i="4"/>
  <c r="O566" i="4" s="1"/>
  <c r="L565" i="4"/>
  <c r="O565" i="4" s="1"/>
  <c r="L564" i="4"/>
  <c r="O564" i="4" s="1"/>
  <c r="L562" i="4"/>
  <c r="O562" i="4" s="1"/>
  <c r="L556" i="4"/>
  <c r="O556" i="4" s="1"/>
  <c r="L545" i="4"/>
  <c r="O545" i="4" s="1"/>
  <c r="L563" i="4"/>
  <c r="L561" i="4"/>
  <c r="O561" i="4" s="1"/>
  <c r="L560" i="4"/>
  <c r="O560" i="4" s="1"/>
  <c r="L559" i="4"/>
  <c r="O559" i="4" s="1"/>
  <c r="L558" i="4"/>
  <c r="O558" i="4" s="1"/>
  <c r="L557" i="4"/>
  <c r="O557" i="4" s="1"/>
  <c r="L555" i="4"/>
  <c r="O555" i="4" s="1"/>
  <c r="L554" i="4"/>
  <c r="O554" i="4" s="1"/>
  <c r="L553" i="4"/>
  <c r="O553" i="4" s="1"/>
  <c r="L552" i="4"/>
  <c r="O552" i="4" s="1"/>
  <c r="L551" i="4"/>
  <c r="O551" i="4" s="1"/>
  <c r="L550" i="4"/>
  <c r="O550" i="4" s="1"/>
  <c r="L549" i="4"/>
  <c r="O549" i="4" s="1"/>
  <c r="L548" i="4"/>
  <c r="O548" i="4" s="1"/>
  <c r="L547" i="4"/>
  <c r="O547" i="4" s="1"/>
  <c r="L546" i="4"/>
  <c r="O546" i="4" s="1"/>
  <c r="L544" i="4"/>
  <c r="O544" i="4" s="1"/>
  <c r="L543" i="4"/>
  <c r="O543" i="4" s="1"/>
  <c r="L542" i="4"/>
  <c r="O542" i="4" s="1"/>
  <c r="L541" i="4"/>
  <c r="O541" i="4" s="1"/>
  <c r="L540" i="4"/>
  <c r="O540" i="4" s="1"/>
  <c r="L539" i="4"/>
  <c r="O539" i="4" s="1"/>
  <c r="L538" i="4"/>
  <c r="O538" i="4" s="1"/>
  <c r="L537" i="4"/>
  <c r="E529" i="2"/>
  <c r="G531" i="2" s="1"/>
  <c r="V453" i="15"/>
  <c r="V407" i="15"/>
  <c r="V383" i="15"/>
  <c r="V365" i="15"/>
  <c r="V339" i="15"/>
  <c r="V319" i="15"/>
  <c r="V290" i="15"/>
  <c r="V271" i="15"/>
  <c r="V454" i="15" s="1"/>
  <c r="F529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AA311" i="15"/>
  <c r="U454" i="15"/>
  <c r="AA315" i="15" s="1"/>
  <c r="M519" i="4"/>
  <c r="J519" i="4"/>
  <c r="L517" i="4"/>
  <c r="L516" i="4"/>
  <c r="L515" i="4"/>
  <c r="L514" i="4"/>
  <c r="L513" i="4"/>
  <c r="L512" i="4"/>
  <c r="L511" i="4"/>
  <c r="L510" i="4"/>
  <c r="L509" i="4"/>
  <c r="L508" i="4"/>
  <c r="O508" i="4" s="1"/>
  <c r="L507" i="4"/>
  <c r="O507" i="4" s="1"/>
  <c r="L506" i="4"/>
  <c r="O506" i="4" s="1"/>
  <c r="L505" i="4"/>
  <c r="O505" i="4" s="1"/>
  <c r="L504" i="4"/>
  <c r="O504" i="4" s="1"/>
  <c r="L503" i="4"/>
  <c r="O503" i="4" s="1"/>
  <c r="L502" i="4"/>
  <c r="O502" i="4" s="1"/>
  <c r="L500" i="4"/>
  <c r="O500" i="4" s="1"/>
  <c r="L499" i="4"/>
  <c r="O499" i="4" s="1"/>
  <c r="L497" i="4"/>
  <c r="O497" i="4" s="1"/>
  <c r="L501" i="4"/>
  <c r="O501" i="4" s="1"/>
  <c r="L498" i="4"/>
  <c r="O498" i="4" s="1"/>
  <c r="L496" i="4"/>
  <c r="O496" i="4" s="1"/>
  <c r="L495" i="4"/>
  <c r="O495" i="4" s="1"/>
  <c r="L494" i="4"/>
  <c r="O494" i="4" s="1"/>
  <c r="L493" i="4"/>
  <c r="O493" i="4" s="1"/>
  <c r="L492" i="4"/>
  <c r="O492" i="4" s="1"/>
  <c r="L491" i="4"/>
  <c r="O491" i="4" s="1"/>
  <c r="L490" i="4"/>
  <c r="O490" i="4" s="1"/>
  <c r="L489" i="4"/>
  <c r="O489" i="4" s="1"/>
  <c r="L488" i="4"/>
  <c r="O488" i="4" s="1"/>
  <c r="L487" i="4"/>
  <c r="O487" i="4" s="1"/>
  <c r="L486" i="4"/>
  <c r="O486" i="4" s="1"/>
  <c r="N519" i="4"/>
  <c r="AA229" i="15"/>
  <c r="AB228" i="15"/>
  <c r="AB225" i="15"/>
  <c r="AB223" i="15"/>
  <c r="AB221" i="15"/>
  <c r="AB219" i="15"/>
  <c r="AB216" i="15"/>
  <c r="AB214" i="15"/>
  <c r="AB211" i="15"/>
  <c r="AB208" i="15"/>
  <c r="AB205" i="15"/>
  <c r="AB201" i="15"/>
  <c r="AB198" i="15"/>
  <c r="AB196" i="15"/>
  <c r="AB194" i="15"/>
  <c r="AB191" i="15"/>
  <c r="AB188" i="15"/>
  <c r="AB186" i="15"/>
  <c r="AB183" i="15"/>
  <c r="AB180" i="15"/>
  <c r="AB178" i="15"/>
  <c r="AB176" i="15"/>
  <c r="G443" i="2"/>
  <c r="AA170" i="15"/>
  <c r="AA231" i="15" s="1"/>
  <c r="AB169" i="15"/>
  <c r="AB149" i="15"/>
  <c r="AB123" i="15"/>
  <c r="AB106" i="15"/>
  <c r="AB78" i="15"/>
  <c r="AB55" i="15"/>
  <c r="AB34" i="15"/>
  <c r="AB15" i="15"/>
  <c r="F468" i="2"/>
  <c r="E468" i="2"/>
  <c r="G470" i="2" s="1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2" i="2"/>
  <c r="G441" i="2"/>
  <c r="G440" i="2"/>
  <c r="G439" i="2"/>
  <c r="G438" i="2"/>
  <c r="G437" i="2"/>
  <c r="G436" i="2"/>
  <c r="G435" i="2"/>
  <c r="J470" i="4"/>
  <c r="O685" i="4" l="1"/>
  <c r="O537" i="4"/>
  <c r="O587" i="4" s="1"/>
  <c r="L587" i="4"/>
  <c r="O519" i="4"/>
  <c r="L519" i="4"/>
  <c r="G529" i="2"/>
  <c r="G532" i="2"/>
  <c r="G533" i="2" s="1"/>
  <c r="G468" i="2"/>
  <c r="G471" i="2"/>
  <c r="G472" i="2" s="1"/>
  <c r="U236" i="15"/>
  <c r="V59" i="15"/>
  <c r="V54" i="15"/>
  <c r="V52" i="15"/>
  <c r="V50" i="15"/>
  <c r="V48" i="15"/>
  <c r="V46" i="15"/>
  <c r="V45" i="15"/>
  <c r="V43" i="15"/>
  <c r="V42" i="15"/>
  <c r="V38" i="15"/>
  <c r="V37" i="15"/>
  <c r="V35" i="15"/>
  <c r="V32" i="15"/>
  <c r="V30" i="15"/>
  <c r="V28" i="15"/>
  <c r="V26" i="15"/>
  <c r="V24" i="15"/>
  <c r="V23" i="15"/>
  <c r="V21" i="15"/>
  <c r="V19" i="15"/>
  <c r="V17" i="15"/>
  <c r="V15" i="15"/>
  <c r="V13" i="15"/>
  <c r="V11" i="15"/>
  <c r="V8" i="15"/>
  <c r="V6" i="15"/>
  <c r="V4" i="15"/>
  <c r="V2" i="15"/>
  <c r="V233" i="15"/>
  <c r="V211" i="15"/>
  <c r="V187" i="15"/>
  <c r="V164" i="15"/>
  <c r="V147" i="15"/>
  <c r="V129" i="15"/>
  <c r="V112" i="15"/>
  <c r="V94" i="15"/>
  <c r="F410" i="2"/>
  <c r="E410" i="2"/>
  <c r="G412" i="2" s="1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V82" i="15"/>
  <c r="U60" i="15"/>
  <c r="U238" i="15" s="1"/>
  <c r="M467" i="4"/>
  <c r="N467" i="4"/>
  <c r="J467" i="4"/>
  <c r="L465" i="4"/>
  <c r="O465" i="4" s="1"/>
  <c r="L464" i="4"/>
  <c r="O464" i="4" s="1"/>
  <c r="L463" i="4"/>
  <c r="O463" i="4" s="1"/>
  <c r="L462" i="4"/>
  <c r="O462" i="4" s="1"/>
  <c r="L461" i="4"/>
  <c r="O461" i="4" s="1"/>
  <c r="L460" i="4"/>
  <c r="O460" i="4" s="1"/>
  <c r="L459" i="4"/>
  <c r="O459" i="4" s="1"/>
  <c r="L458" i="4"/>
  <c r="O458" i="4" s="1"/>
  <c r="L457" i="4"/>
  <c r="O457" i="4" s="1"/>
  <c r="L456" i="4"/>
  <c r="O456" i="4" s="1"/>
  <c r="L455" i="4"/>
  <c r="O455" i="4" s="1"/>
  <c r="L454" i="4"/>
  <c r="O454" i="4" s="1"/>
  <c r="L453" i="4"/>
  <c r="O453" i="4" s="1"/>
  <c r="L452" i="4"/>
  <c r="O452" i="4" s="1"/>
  <c r="L451" i="4"/>
  <c r="O451" i="4" s="1"/>
  <c r="L450" i="4"/>
  <c r="O450" i="4" s="1"/>
  <c r="L449" i="4"/>
  <c r="O449" i="4" s="1"/>
  <c r="L448" i="4"/>
  <c r="O448" i="4" s="1"/>
  <c r="L447" i="4"/>
  <c r="O447" i="4" s="1"/>
  <c r="L446" i="4"/>
  <c r="O446" i="4" s="1"/>
  <c r="L445" i="4"/>
  <c r="O445" i="4" s="1"/>
  <c r="L444" i="4"/>
  <c r="O444" i="4" s="1"/>
  <c r="L443" i="4"/>
  <c r="O443" i="4" s="1"/>
  <c r="L442" i="4"/>
  <c r="O442" i="4" s="1"/>
  <c r="L441" i="4"/>
  <c r="O441" i="4" s="1"/>
  <c r="L440" i="4"/>
  <c r="O440" i="4" s="1"/>
  <c r="L439" i="4"/>
  <c r="O439" i="4" s="1"/>
  <c r="L438" i="4"/>
  <c r="O438" i="4" s="1"/>
  <c r="L437" i="4"/>
  <c r="O437" i="4" s="1"/>
  <c r="L436" i="4"/>
  <c r="O436" i="4" s="1"/>
  <c r="L435" i="4"/>
  <c r="O435" i="4" s="1"/>
  <c r="L434" i="4"/>
  <c r="O434" i="4" s="1"/>
  <c r="L433" i="4"/>
  <c r="L432" i="4"/>
  <c r="O432" i="4" s="1"/>
  <c r="L431" i="4"/>
  <c r="O431" i="4" s="1"/>
  <c r="L430" i="4"/>
  <c r="O430" i="4" s="1"/>
  <c r="L429" i="4"/>
  <c r="O429" i="4" s="1"/>
  <c r="L428" i="4"/>
  <c r="O428" i="4" s="1"/>
  <c r="L427" i="4"/>
  <c r="O427" i="4" s="1"/>
  <c r="L426" i="4"/>
  <c r="O426" i="4" s="1"/>
  <c r="L425" i="4"/>
  <c r="O425" i="4" s="1"/>
  <c r="L424" i="4"/>
  <c r="O424" i="4" s="1"/>
  <c r="L423" i="4"/>
  <c r="O423" i="4" s="1"/>
  <c r="L422" i="4"/>
  <c r="O422" i="4" s="1"/>
  <c r="L421" i="4"/>
  <c r="O421" i="4" s="1"/>
  <c r="L420" i="4"/>
  <c r="O420" i="4" s="1"/>
  <c r="L419" i="4"/>
  <c r="O419" i="4" s="1"/>
  <c r="L418" i="4"/>
  <c r="O418" i="4" s="1"/>
  <c r="L417" i="4"/>
  <c r="O417" i="4" s="1"/>
  <c r="L416" i="4"/>
  <c r="O416" i="4" s="1"/>
  <c r="L415" i="4"/>
  <c r="O415" i="4" s="1"/>
  <c r="L414" i="4"/>
  <c r="O414" i="4" s="1"/>
  <c r="L413" i="4"/>
  <c r="O413" i="4" s="1"/>
  <c r="L412" i="4"/>
  <c r="O412" i="4" s="1"/>
  <c r="L411" i="4"/>
  <c r="O411" i="4" s="1"/>
  <c r="L410" i="4"/>
  <c r="O410" i="4" s="1"/>
  <c r="L409" i="4"/>
  <c r="O409" i="4" s="1"/>
  <c r="L408" i="4"/>
  <c r="O408" i="4" s="1"/>
  <c r="L407" i="4"/>
  <c r="O407" i="4" s="1"/>
  <c r="L406" i="4"/>
  <c r="O406" i="4" s="1"/>
  <c r="L405" i="4"/>
  <c r="O405" i="4" s="1"/>
  <c r="L404" i="4"/>
  <c r="O404" i="4" s="1"/>
  <c r="L403" i="4"/>
  <c r="O403" i="4" s="1"/>
  <c r="L402" i="4"/>
  <c r="O402" i="4" s="1"/>
  <c r="L401" i="4"/>
  <c r="O401" i="4" s="1"/>
  <c r="L400" i="4"/>
  <c r="O400" i="4" s="1"/>
  <c r="L381" i="4"/>
  <c r="O381" i="4" s="1"/>
  <c r="L380" i="4"/>
  <c r="O380" i="4" s="1"/>
  <c r="L379" i="4"/>
  <c r="O379" i="4" s="1"/>
  <c r="J384" i="4"/>
  <c r="L378" i="4"/>
  <c r="O378" i="4" s="1"/>
  <c r="L377" i="4"/>
  <c r="O377" i="4" s="1"/>
  <c r="L376" i="4"/>
  <c r="O376" i="4" s="1"/>
  <c r="L374" i="4"/>
  <c r="O374" i="4" s="1"/>
  <c r="L372" i="4"/>
  <c r="O372" i="4" s="1"/>
  <c r="L371" i="4"/>
  <c r="O371" i="4" s="1"/>
  <c r="L370" i="4"/>
  <c r="O370" i="4" s="1"/>
  <c r="N384" i="4"/>
  <c r="M384" i="4"/>
  <c r="L375" i="4"/>
  <c r="O375" i="4" s="1"/>
  <c r="L373" i="4"/>
  <c r="O373" i="4" s="1"/>
  <c r="L369" i="4"/>
  <c r="O369" i="4" s="1"/>
  <c r="L368" i="4"/>
  <c r="O368" i="4" s="1"/>
  <c r="L367" i="4"/>
  <c r="O367" i="4" s="1"/>
  <c r="L366" i="4"/>
  <c r="O366" i="4" s="1"/>
  <c r="L365" i="4"/>
  <c r="O365" i="4" s="1"/>
  <c r="L364" i="4"/>
  <c r="O364" i="4" s="1"/>
  <c r="L363" i="4"/>
  <c r="O363" i="4" s="1"/>
  <c r="L362" i="4"/>
  <c r="O362" i="4" s="1"/>
  <c r="L361" i="4"/>
  <c r="O361" i="4" s="1"/>
  <c r="L360" i="4"/>
  <c r="O360" i="4" s="1"/>
  <c r="L359" i="4"/>
  <c r="O359" i="4" s="1"/>
  <c r="L358" i="4"/>
  <c r="O358" i="4" s="1"/>
  <c r="L357" i="4"/>
  <c r="O357" i="4" s="1"/>
  <c r="L356" i="4"/>
  <c r="O356" i="4" s="1"/>
  <c r="L355" i="4"/>
  <c r="O355" i="4" s="1"/>
  <c r="L354" i="4"/>
  <c r="O354" i="4" s="1"/>
  <c r="L353" i="4"/>
  <c r="O353" i="4" s="1"/>
  <c r="L352" i="4"/>
  <c r="O352" i="4" s="1"/>
  <c r="L351" i="4"/>
  <c r="O351" i="4" s="1"/>
  <c r="L350" i="4"/>
  <c r="O350" i="4" s="1"/>
  <c r="L349" i="4"/>
  <c r="O349" i="4" s="1"/>
  <c r="L348" i="4"/>
  <c r="N326" i="4"/>
  <c r="J326" i="4"/>
  <c r="L297" i="4"/>
  <c r="O297" i="4" s="1"/>
  <c r="L315" i="4"/>
  <c r="L314" i="4"/>
  <c r="L311" i="4"/>
  <c r="L308" i="4"/>
  <c r="O308" i="4" s="1"/>
  <c r="L306" i="4"/>
  <c r="O306" i="4" s="1"/>
  <c r="L299" i="4"/>
  <c r="L298" i="4"/>
  <c r="O298" i="4" s="1"/>
  <c r="L323" i="4"/>
  <c r="O323" i="4" s="1"/>
  <c r="L310" i="4"/>
  <c r="O310" i="4" s="1"/>
  <c r="M326" i="4"/>
  <c r="L324" i="4"/>
  <c r="O324" i="4" s="1"/>
  <c r="L322" i="4"/>
  <c r="O322" i="4" s="1"/>
  <c r="L321" i="4"/>
  <c r="O321" i="4" s="1"/>
  <c r="L320" i="4"/>
  <c r="O320" i="4" s="1"/>
  <c r="L319" i="4"/>
  <c r="O319" i="4" s="1"/>
  <c r="L318" i="4"/>
  <c r="O318" i="4" s="1"/>
  <c r="L317" i="4"/>
  <c r="O317" i="4" s="1"/>
  <c r="L316" i="4"/>
  <c r="O316" i="4" s="1"/>
  <c r="L313" i="4"/>
  <c r="O313" i="4" s="1"/>
  <c r="L312" i="4"/>
  <c r="O312" i="4" s="1"/>
  <c r="L309" i="4"/>
  <c r="O309" i="4" s="1"/>
  <c r="L307" i="4"/>
  <c r="O307" i="4" s="1"/>
  <c r="L305" i="4"/>
  <c r="O305" i="4" s="1"/>
  <c r="L304" i="4"/>
  <c r="O304" i="4" s="1"/>
  <c r="L303" i="4"/>
  <c r="O303" i="4" s="1"/>
  <c r="L302" i="4"/>
  <c r="O302" i="4" s="1"/>
  <c r="L301" i="4"/>
  <c r="O301" i="4" s="1"/>
  <c r="L300" i="4"/>
  <c r="O300" i="4" s="1"/>
  <c r="L296" i="4"/>
  <c r="O296" i="4" s="1"/>
  <c r="E347" i="2"/>
  <c r="G349" i="2" s="1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27" i="2"/>
  <c r="F347" i="2"/>
  <c r="G330" i="2"/>
  <c r="G329" i="2"/>
  <c r="G328" i="2"/>
  <c r="G326" i="2"/>
  <c r="G325" i="2"/>
  <c r="G324" i="2"/>
  <c r="G323" i="2"/>
  <c r="G322" i="2"/>
  <c r="G321" i="2"/>
  <c r="G320" i="2"/>
  <c r="G319" i="2"/>
  <c r="G318" i="2"/>
  <c r="G317" i="2"/>
  <c r="J317" i="2" s="1"/>
  <c r="G316" i="2"/>
  <c r="G315" i="2"/>
  <c r="G314" i="2"/>
  <c r="G313" i="2"/>
  <c r="G312" i="2"/>
  <c r="G311" i="2"/>
  <c r="G310" i="2"/>
  <c r="G309" i="2"/>
  <c r="G308" i="2"/>
  <c r="Q140" i="15"/>
  <c r="M140" i="15"/>
  <c r="Q141" i="15" s="1"/>
  <c r="N277" i="4"/>
  <c r="J277" i="4"/>
  <c r="J318" i="2" l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O433" i="4"/>
  <c r="L470" i="4"/>
  <c r="V60" i="15"/>
  <c r="G347" i="2"/>
  <c r="G410" i="2"/>
  <c r="G413" i="2"/>
  <c r="G414" i="2" s="1"/>
  <c r="O467" i="4"/>
  <c r="L467" i="4"/>
  <c r="L384" i="4"/>
  <c r="L387" i="4"/>
  <c r="O348" i="4"/>
  <c r="O384" i="4" s="1"/>
  <c r="L329" i="4"/>
  <c r="L326" i="4"/>
  <c r="O326" i="4"/>
  <c r="G350" i="2"/>
  <c r="G351" i="2" s="1"/>
  <c r="L275" i="4"/>
  <c r="O275" i="4" s="1"/>
  <c r="L274" i="4"/>
  <c r="O274" i="4" s="1"/>
  <c r="L273" i="4"/>
  <c r="O273" i="4" s="1"/>
  <c r="L272" i="4"/>
  <c r="O272" i="4" s="1"/>
  <c r="L271" i="4"/>
  <c r="O271" i="4" s="1"/>
  <c r="L270" i="4"/>
  <c r="O270" i="4" s="1"/>
  <c r="L269" i="4"/>
  <c r="O269" i="4" s="1"/>
  <c r="L268" i="4"/>
  <c r="O268" i="4" s="1"/>
  <c r="L267" i="4"/>
  <c r="O267" i="4" s="1"/>
  <c r="L266" i="4"/>
  <c r="O266" i="4" s="1"/>
  <c r="L265" i="4"/>
  <c r="O265" i="4" s="1"/>
  <c r="M277" i="4"/>
  <c r="L264" i="4"/>
  <c r="O264" i="4" s="1"/>
  <c r="L263" i="4"/>
  <c r="O263" i="4" s="1"/>
  <c r="L262" i="4"/>
  <c r="O262" i="4" s="1"/>
  <c r="L261" i="4"/>
  <c r="O261" i="4" s="1"/>
  <c r="L260" i="4"/>
  <c r="O260" i="4" s="1"/>
  <c r="L259" i="4"/>
  <c r="O259" i="4" s="1"/>
  <c r="L258" i="4"/>
  <c r="O258" i="4" s="1"/>
  <c r="L257" i="4"/>
  <c r="O257" i="4" s="1"/>
  <c r="L256" i="4"/>
  <c r="O256" i="4" s="1"/>
  <c r="L255" i="4"/>
  <c r="O255" i="4" s="1"/>
  <c r="L254" i="4"/>
  <c r="O254" i="4" s="1"/>
  <c r="L253" i="4"/>
  <c r="O253" i="4" s="1"/>
  <c r="L252" i="4"/>
  <c r="O252" i="4" s="1"/>
  <c r="L251" i="4"/>
  <c r="O251" i="4" s="1"/>
  <c r="L250" i="4"/>
  <c r="O250" i="4" s="1"/>
  <c r="L249" i="4"/>
  <c r="O249" i="4" s="1"/>
  <c r="L248" i="4"/>
  <c r="O248" i="4" s="1"/>
  <c r="L247" i="4"/>
  <c r="O247" i="4" s="1"/>
  <c r="L246" i="4"/>
  <c r="O246" i="4" s="1"/>
  <c r="L245" i="4"/>
  <c r="O245" i="4" s="1"/>
  <c r="L244" i="4"/>
  <c r="H189" i="15"/>
  <c r="I111" i="15"/>
  <c r="E285" i="2"/>
  <c r="G287" i="2" s="1"/>
  <c r="I106" i="15"/>
  <c r="I93" i="15"/>
  <c r="I76" i="15"/>
  <c r="I64" i="15"/>
  <c r="I47" i="15"/>
  <c r="I33" i="15"/>
  <c r="G260" i="2"/>
  <c r="I15" i="15"/>
  <c r="F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5" i="2"/>
  <c r="G264" i="2"/>
  <c r="G263" i="2"/>
  <c r="G262" i="2"/>
  <c r="G261" i="2"/>
  <c r="L221" i="4"/>
  <c r="O221" i="4" s="1"/>
  <c r="L220" i="4"/>
  <c r="O220" i="4" s="1"/>
  <c r="L219" i="4"/>
  <c r="O219" i="4" s="1"/>
  <c r="L218" i="4"/>
  <c r="O218" i="4" s="1"/>
  <c r="L217" i="4"/>
  <c r="O217" i="4" s="1"/>
  <c r="L216" i="4"/>
  <c r="O216" i="4" s="1"/>
  <c r="L215" i="4"/>
  <c r="O215" i="4" s="1"/>
  <c r="L214" i="4"/>
  <c r="O214" i="4" s="1"/>
  <c r="L213" i="4"/>
  <c r="O213" i="4" s="1"/>
  <c r="L212" i="4"/>
  <c r="O212" i="4" s="1"/>
  <c r="L211" i="4"/>
  <c r="O211" i="4" s="1"/>
  <c r="L210" i="4"/>
  <c r="O210" i="4" s="1"/>
  <c r="L209" i="4"/>
  <c r="O209" i="4" s="1"/>
  <c r="L208" i="4"/>
  <c r="O208" i="4" s="1"/>
  <c r="L207" i="4"/>
  <c r="O207" i="4" s="1"/>
  <c r="L206" i="4"/>
  <c r="O206" i="4" s="1"/>
  <c r="L205" i="4"/>
  <c r="O205" i="4" s="1"/>
  <c r="L204" i="4"/>
  <c r="O204" i="4" s="1"/>
  <c r="N223" i="4"/>
  <c r="M223" i="4"/>
  <c r="J223" i="4"/>
  <c r="L203" i="4"/>
  <c r="O203" i="4" s="1"/>
  <c r="L202" i="4"/>
  <c r="O202" i="4" s="1"/>
  <c r="L201" i="4"/>
  <c r="E233" i="2"/>
  <c r="G235" i="2" s="1"/>
  <c r="F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C196" i="15"/>
  <c r="C133" i="15"/>
  <c r="D131" i="15"/>
  <c r="D115" i="15"/>
  <c r="D105" i="15"/>
  <c r="D92" i="15"/>
  <c r="D79" i="15"/>
  <c r="D62" i="15"/>
  <c r="D39" i="15"/>
  <c r="D24" i="15"/>
  <c r="L333" i="4" l="1"/>
  <c r="O244" i="4"/>
  <c r="O277" i="4" s="1"/>
  <c r="L277" i="4"/>
  <c r="D133" i="15"/>
  <c r="C200" i="15"/>
  <c r="G266" i="2"/>
  <c r="G285" i="2" s="1"/>
  <c r="G288" i="2"/>
  <c r="G289" i="2" s="1"/>
  <c r="G233" i="2"/>
  <c r="O201" i="4"/>
  <c r="O223" i="4" s="1"/>
  <c r="L223" i="4"/>
  <c r="G236" i="2"/>
  <c r="G237" i="2" s="1"/>
  <c r="G168" i="2"/>
  <c r="G167" i="2"/>
  <c r="G166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F170" i="2"/>
  <c r="E170" i="2"/>
  <c r="G172" i="2" s="1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35" i="2"/>
  <c r="G134" i="2"/>
  <c r="G133" i="2"/>
  <c r="J183" i="4"/>
  <c r="L181" i="4"/>
  <c r="O181" i="4" s="1"/>
  <c r="L180" i="4"/>
  <c r="O180" i="4" s="1"/>
  <c r="L179" i="4"/>
  <c r="O179" i="4" s="1"/>
  <c r="L178" i="4"/>
  <c r="O178" i="4" s="1"/>
  <c r="L152" i="4"/>
  <c r="N183" i="4"/>
  <c r="M183" i="4"/>
  <c r="L177" i="4"/>
  <c r="O177" i="4" s="1"/>
  <c r="L176" i="4"/>
  <c r="O176" i="4" s="1"/>
  <c r="L175" i="4"/>
  <c r="O175" i="4" s="1"/>
  <c r="L174" i="4"/>
  <c r="O174" i="4" s="1"/>
  <c r="L173" i="4"/>
  <c r="O173" i="4" s="1"/>
  <c r="L172" i="4"/>
  <c r="O172" i="4" s="1"/>
  <c r="L171" i="4"/>
  <c r="O171" i="4" s="1"/>
  <c r="L170" i="4"/>
  <c r="O170" i="4" s="1"/>
  <c r="L169" i="4"/>
  <c r="O169" i="4" s="1"/>
  <c r="L168" i="4"/>
  <c r="O168" i="4" s="1"/>
  <c r="L167" i="4"/>
  <c r="O167" i="4" s="1"/>
  <c r="L166" i="4"/>
  <c r="O166" i="4" s="1"/>
  <c r="L165" i="4"/>
  <c r="O165" i="4" s="1"/>
  <c r="L164" i="4"/>
  <c r="O164" i="4" s="1"/>
  <c r="L163" i="4"/>
  <c r="O163" i="4" s="1"/>
  <c r="L162" i="4"/>
  <c r="O162" i="4" s="1"/>
  <c r="L161" i="4"/>
  <c r="O161" i="4" s="1"/>
  <c r="L160" i="4"/>
  <c r="O160" i="4" s="1"/>
  <c r="L159" i="4"/>
  <c r="O159" i="4" s="1"/>
  <c r="L158" i="4"/>
  <c r="O158" i="4" s="1"/>
  <c r="L157" i="4"/>
  <c r="O157" i="4" s="1"/>
  <c r="L156" i="4"/>
  <c r="O156" i="4" s="1"/>
  <c r="L155" i="4"/>
  <c r="L154" i="4"/>
  <c r="O154" i="4" s="1"/>
  <c r="L153" i="4"/>
  <c r="O153" i="4" s="1"/>
  <c r="L185" i="4" l="1"/>
  <c r="L187" i="4" s="1"/>
  <c r="L183" i="4"/>
  <c r="G170" i="2"/>
  <c r="G173" i="2"/>
  <c r="G174" i="2" s="1"/>
  <c r="O152" i="4"/>
  <c r="O155" i="4"/>
  <c r="F110" i="2"/>
  <c r="E110" i="2"/>
  <c r="G112" i="2" s="1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0" i="2"/>
  <c r="G79" i="2"/>
  <c r="G78" i="2"/>
  <c r="G77" i="2"/>
  <c r="G76" i="2"/>
  <c r="G75" i="2"/>
  <c r="G74" i="2"/>
  <c r="J132" i="4"/>
  <c r="L105" i="4"/>
  <c r="L129" i="4"/>
  <c r="O129" i="4" s="1"/>
  <c r="O183" i="4" l="1"/>
  <c r="G110" i="2"/>
  <c r="G113" i="2"/>
  <c r="G114" i="2" s="1"/>
  <c r="L128" i="4"/>
  <c r="O128" i="4" s="1"/>
  <c r="L127" i="4"/>
  <c r="O127" i="4" s="1"/>
  <c r="L126" i="4"/>
  <c r="L125" i="4"/>
  <c r="O125" i="4" s="1"/>
  <c r="L124" i="4"/>
  <c r="O124" i="4" s="1"/>
  <c r="L123" i="4"/>
  <c r="O123" i="4" s="1"/>
  <c r="L122" i="4"/>
  <c r="L121" i="4"/>
  <c r="O121" i="4" s="1"/>
  <c r="L120" i="4"/>
  <c r="O120" i="4" s="1"/>
  <c r="L119" i="4"/>
  <c r="O119" i="4" s="1"/>
  <c r="L118" i="4"/>
  <c r="O118" i="4" s="1"/>
  <c r="L117" i="4"/>
  <c r="O117" i="4" s="1"/>
  <c r="L116" i="4"/>
  <c r="O116" i="4" s="1"/>
  <c r="L115" i="4"/>
  <c r="O115" i="4" s="1"/>
  <c r="L114" i="4"/>
  <c r="L113" i="4"/>
  <c r="O113" i="4" s="1"/>
  <c r="L112" i="4"/>
  <c r="O112" i="4" s="1"/>
  <c r="L111" i="4"/>
  <c r="O111" i="4" s="1"/>
  <c r="L110" i="4"/>
  <c r="O110" i="4" s="1"/>
  <c r="L109" i="4"/>
  <c r="O109" i="4" s="1"/>
  <c r="L108" i="4"/>
  <c r="L107" i="4"/>
  <c r="L106" i="4"/>
  <c r="O106" i="4" s="1"/>
  <c r="L104" i="4"/>
  <c r="N132" i="4"/>
  <c r="M132" i="4"/>
  <c r="O126" i="4"/>
  <c r="O122" i="4"/>
  <c r="O114" i="4"/>
  <c r="J85" i="4"/>
  <c r="L135" i="4" l="1"/>
  <c r="L136" i="4" s="1"/>
  <c r="O108" i="4"/>
  <c r="L132" i="4"/>
  <c r="O107" i="4"/>
  <c r="O104" i="4"/>
  <c r="L83" i="4"/>
  <c r="O83" i="4" s="1"/>
  <c r="L82" i="4"/>
  <c r="L60" i="4"/>
  <c r="N85" i="4"/>
  <c r="M85" i="4"/>
  <c r="L81" i="4"/>
  <c r="O81" i="4" s="1"/>
  <c r="L80" i="4"/>
  <c r="O80" i="4" s="1"/>
  <c r="L79" i="4"/>
  <c r="O79" i="4" s="1"/>
  <c r="L78" i="4"/>
  <c r="O78" i="4" s="1"/>
  <c r="L77" i="4"/>
  <c r="O77" i="4" s="1"/>
  <c r="L76" i="4"/>
  <c r="O76" i="4" s="1"/>
  <c r="L75" i="4"/>
  <c r="O75" i="4" s="1"/>
  <c r="L74" i="4"/>
  <c r="O74" i="4" s="1"/>
  <c r="L73" i="4"/>
  <c r="O73" i="4" s="1"/>
  <c r="L72" i="4"/>
  <c r="O72" i="4" s="1"/>
  <c r="L71" i="4"/>
  <c r="O71" i="4" s="1"/>
  <c r="L70" i="4"/>
  <c r="O70" i="4" s="1"/>
  <c r="L69" i="4"/>
  <c r="O69" i="4" s="1"/>
  <c r="L68" i="4"/>
  <c r="O68" i="4" s="1"/>
  <c r="L67" i="4"/>
  <c r="O67" i="4" s="1"/>
  <c r="L66" i="4"/>
  <c r="O66" i="4" s="1"/>
  <c r="L65" i="4"/>
  <c r="O65" i="4" s="1"/>
  <c r="L64" i="4"/>
  <c r="O64" i="4" s="1"/>
  <c r="L63" i="4"/>
  <c r="O63" i="4" s="1"/>
  <c r="L62" i="4"/>
  <c r="O62" i="4" s="1"/>
  <c r="L61" i="4"/>
  <c r="O61" i="4" s="1"/>
  <c r="E46" i="2"/>
  <c r="G44" i="2"/>
  <c r="G43" i="2"/>
  <c r="G42" i="2"/>
  <c r="G41" i="2"/>
  <c r="G40" i="2"/>
  <c r="G39" i="2"/>
  <c r="G32" i="2"/>
  <c r="G31" i="2"/>
  <c r="G30" i="2"/>
  <c r="G29" i="2"/>
  <c r="O132" i="4" l="1"/>
  <c r="L85" i="4"/>
  <c r="O82" i="4"/>
  <c r="O60" i="4"/>
  <c r="J39" i="4"/>
  <c r="L41" i="4" s="1"/>
  <c r="L38" i="4"/>
  <c r="L37" i="4"/>
  <c r="O37" i="4" s="1"/>
  <c r="L36" i="4"/>
  <c r="O36" i="4" s="1"/>
  <c r="L35" i="4"/>
  <c r="O35" i="4" s="1"/>
  <c r="L34" i="4"/>
  <c r="O34" i="4" s="1"/>
  <c r="L33" i="4"/>
  <c r="O33" i="4" s="1"/>
  <c r="L32" i="4"/>
  <c r="O32" i="4" s="1"/>
  <c r="L31" i="4"/>
  <c r="O31" i="4" s="1"/>
  <c r="N39" i="4"/>
  <c r="M39" i="4"/>
  <c r="L30" i="4"/>
  <c r="O30" i="4" s="1"/>
  <c r="L29" i="4"/>
  <c r="O29" i="4" s="1"/>
  <c r="L28" i="4"/>
  <c r="O28" i="4" s="1"/>
  <c r="L27" i="4"/>
  <c r="O27" i="4" s="1"/>
  <c r="L26" i="4"/>
  <c r="O26" i="4" s="1"/>
  <c r="L25" i="4"/>
  <c r="O25" i="4" s="1"/>
  <c r="L24" i="4"/>
  <c r="O24" i="4" s="1"/>
  <c r="L23" i="4"/>
  <c r="O23" i="4" s="1"/>
  <c r="L22" i="4"/>
  <c r="O22" i="4" s="1"/>
  <c r="L21" i="4"/>
  <c r="O21" i="4" s="1"/>
  <c r="L20" i="4"/>
  <c r="O20" i="4" s="1"/>
  <c r="L19" i="4"/>
  <c r="O19" i="4" s="1"/>
  <c r="L18" i="4"/>
  <c r="O18" i="4" s="1"/>
  <c r="L17" i="4"/>
  <c r="O17" i="4" s="1"/>
  <c r="L16" i="4"/>
  <c r="O16" i="4" s="1"/>
  <c r="L15" i="4"/>
  <c r="O15" i="4" s="1"/>
  <c r="L14" i="4"/>
  <c r="O14" i="4" s="1"/>
  <c r="L13" i="4"/>
  <c r="O13" i="4" s="1"/>
  <c r="L12" i="4"/>
  <c r="O12" i="4" s="1"/>
  <c r="L11" i="4"/>
  <c r="L10" i="4"/>
  <c r="O10" i="4" s="1"/>
  <c r="G38" i="2"/>
  <c r="G37" i="2"/>
  <c r="F46" i="2"/>
  <c r="G48" i="2"/>
  <c r="G36" i="2"/>
  <c r="G35" i="2"/>
  <c r="G34" i="2"/>
  <c r="G33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O85" i="4" l="1"/>
  <c r="L39" i="4"/>
  <c r="O38" i="4"/>
  <c r="O11" i="4"/>
  <c r="G46" i="2"/>
  <c r="G49" i="2"/>
  <c r="O39" i="4" l="1"/>
  <c r="G50" i="2"/>
  <c r="O14" i="1" l="1"/>
  <c r="B15" i="1"/>
  <c r="O15" i="1"/>
  <c r="I20" i="1"/>
  <c r="G28" i="1" s="1"/>
  <c r="J20" i="1"/>
  <c r="H28" i="1" s="1"/>
  <c r="N20" i="1"/>
  <c r="K28" i="1" s="1"/>
  <c r="K30" i="1" s="1"/>
  <c r="O20" i="1" l="1"/>
  <c r="G29" i="1"/>
  <c r="G30" i="1" s="1"/>
  <c r="H29" i="1" l="1"/>
  <c r="H30" i="1" s="1"/>
</calcChain>
</file>

<file path=xl/sharedStrings.xml><?xml version="1.0" encoding="utf-8"?>
<sst xmlns="http://schemas.openxmlformats.org/spreadsheetml/2006/main" count="2905" uniqueCount="689">
  <si>
    <t>DIA</t>
  </si>
  <si>
    <t>NOMBRE DEL CLIENTE</t>
  </si>
  <si>
    <t>No. De</t>
  </si>
  <si>
    <t>REGISTRO</t>
  </si>
  <si>
    <t>EXENTAS</t>
  </si>
  <si>
    <t>GRAVADAS</t>
  </si>
  <si>
    <t>TOTAL</t>
  </si>
  <si>
    <t>MES</t>
  </si>
  <si>
    <t>AÑO</t>
  </si>
  <si>
    <t>IVA DEBITO</t>
  </si>
  <si>
    <t>TOTALES</t>
  </si>
  <si>
    <t>F.</t>
  </si>
  <si>
    <t>Contador</t>
  </si>
  <si>
    <t>Francisco  Guillermo Rivas</t>
  </si>
  <si>
    <t>NOMBRE DEL ESTABLECIMIENTO</t>
  </si>
  <si>
    <t>REGISTRON No</t>
  </si>
  <si>
    <t>MES:</t>
  </si>
  <si>
    <t>#</t>
  </si>
  <si>
    <t>FECHA</t>
  </si>
  <si>
    <t xml:space="preserve">No de </t>
  </si>
  <si>
    <t>TOTAL DE</t>
  </si>
  <si>
    <t>CORR</t>
  </si>
  <si>
    <t>DE EMISION</t>
  </si>
  <si>
    <t>Comprobante</t>
  </si>
  <si>
    <t>Registro</t>
  </si>
  <si>
    <t>NOMBRE DEL PROVEEDOR</t>
  </si>
  <si>
    <t>COMPRAS EXENTAS</t>
  </si>
  <si>
    <t>COMPRAS GRAVADAS</t>
  </si>
  <si>
    <t>COMPRAS</t>
  </si>
  <si>
    <t>Internas</t>
  </si>
  <si>
    <t>Importaciones</t>
  </si>
  <si>
    <t>IVA</t>
  </si>
  <si>
    <t>( VALORES EN DOLARES )</t>
  </si>
  <si>
    <t>AÑO:</t>
  </si>
  <si>
    <t>REGISTRO No</t>
  </si>
  <si>
    <t>DEL No</t>
  </si>
  <si>
    <t>AL No</t>
  </si>
  <si>
    <t xml:space="preserve">VENTAS </t>
  </si>
  <si>
    <t>VENTAS</t>
  </si>
  <si>
    <t>INGRESOS POR VENTAS NETAS GRAVADAS</t>
  </si>
  <si>
    <t>( + )</t>
  </si>
  <si>
    <t>13% IVA</t>
  </si>
  <si>
    <t>RETENIDO</t>
  </si>
  <si>
    <t>FEBRERO</t>
  </si>
  <si>
    <t xml:space="preserve">NIT O DUI DE </t>
  </si>
  <si>
    <t>SUJETOS</t>
  </si>
  <si>
    <t>EXCLUIDO(A)</t>
  </si>
  <si>
    <t xml:space="preserve">COMPRAS </t>
  </si>
  <si>
    <t>A  SUJETOS</t>
  </si>
  <si>
    <t>EXCLIDOS</t>
  </si>
  <si>
    <t>No DE COMPROBANTE</t>
  </si>
  <si>
    <t xml:space="preserve">FECHA DE </t>
  </si>
  <si>
    <t>EMISION</t>
  </si>
  <si>
    <t>DEL</t>
  </si>
  <si>
    <t>AL</t>
  </si>
  <si>
    <t>N.</t>
  </si>
  <si>
    <t xml:space="preserve">ANTIPO A </t>
  </si>
  <si>
    <t>CUENTA</t>
  </si>
  <si>
    <t>PERCIBIDO</t>
  </si>
  <si>
    <t>FISCAL</t>
  </si>
  <si>
    <t>OPERACIONES DE VENTAS PROPIAS Y A CUENTAS A TERCEROS</t>
  </si>
  <si>
    <t>PROPIAS</t>
  </si>
  <si>
    <t>A CUENTA A TERCEROS</t>
  </si>
  <si>
    <t>INTERNAS</t>
  </si>
  <si>
    <t xml:space="preserve">                             PROPIAS</t>
  </si>
  <si>
    <t>RESUMEN DEL MES</t>
  </si>
  <si>
    <t>VALOR NETO</t>
  </si>
  <si>
    <t>DEBITO FISCAL</t>
  </si>
  <si>
    <t>IVA PERCIBIDO</t>
  </si>
  <si>
    <t>VENTAS INTERNAS GRAVADAS A CONTRIB.</t>
  </si>
  <si>
    <t>VENTAS INTERNAS GRAVADAS A CONSUMIDORES</t>
  </si>
  <si>
    <t>TOTAL OPERACIONES INTERNAS GRAVADAS</t>
  </si>
  <si>
    <t>VENTAS INTERNAS EXENTAS A CONTRIBUYENTES</t>
  </si>
  <si>
    <t>VENTAS INTERNAS EXENTAS A CONSUMIDORES</t>
  </si>
  <si>
    <t>TOTAL OPERACIONES INTERNAS EXENTAS</t>
  </si>
  <si>
    <t>EXPORTACIONES SEGÚN FACTURAS DE EXPORT.</t>
  </si>
  <si>
    <t xml:space="preserve">       A CUENTA DE TERCEROS</t>
  </si>
  <si>
    <t>ABRIL</t>
  </si>
  <si>
    <t>164195-0</t>
  </si>
  <si>
    <t>TELMAS  SALA DE TE Y RECEPCIONES</t>
  </si>
  <si>
    <t>TELMA NICOLASA NOVOA DE CUERNO</t>
  </si>
  <si>
    <t>DICIEMBRE</t>
  </si>
  <si>
    <t>ENERO</t>
  </si>
  <si>
    <t>POLICLINICA CASA DE LA SALUD S.A DE C.V</t>
  </si>
  <si>
    <t>Lic. Francisco Guillermo Rivas</t>
  </si>
  <si>
    <t>Fovial</t>
  </si>
  <si>
    <t>Transporte</t>
  </si>
  <si>
    <t>iva no dedu</t>
  </si>
  <si>
    <t>Total</t>
  </si>
  <si>
    <t>1007-011253-001-4</t>
  </si>
  <si>
    <t>CENTRO COMERCIAL PLAZA MERLIOT</t>
  </si>
  <si>
    <t>Marialuisa1</t>
  </si>
  <si>
    <t>FERRETERIA EPA, S.A DE C.V</t>
  </si>
  <si>
    <t>INVERSIONES BOLIVAR S.A DE C.V</t>
  </si>
  <si>
    <t>ALMACENES VIDRI, S.A DE C.V</t>
  </si>
  <si>
    <t>OD EL SALVADOR LIMITADA DE C.V</t>
  </si>
  <si>
    <t>PRICESMART EL SALVADOR, S.A DE C.V.</t>
  </si>
  <si>
    <t>CARLOS DENIS RAMIREZ VENTURA</t>
  </si>
  <si>
    <t>DIHARE S.A DE C.V.</t>
  </si>
  <si>
    <t>RICARDO E.G. SANTOS</t>
  </si>
  <si>
    <t>CALLEJA S.A DE C.V.</t>
  </si>
  <si>
    <t>PIMI, S.A DE C.V.</t>
  </si>
  <si>
    <t>BAKERY SUPPLIES, S.A DE C.V.</t>
  </si>
  <si>
    <t>GRUPO NSV, S.A DE C.V.</t>
  </si>
  <si>
    <t>TIENDA  MORENA, S.A DE C.V</t>
  </si>
  <si>
    <t>GRUPO 3 INVERSIONES, S.A DE C.V</t>
  </si>
  <si>
    <t>824</t>
  </si>
  <si>
    <t>233228</t>
  </si>
  <si>
    <t>61451</t>
  </si>
  <si>
    <t>01/12/2021</t>
  </si>
  <si>
    <t>1604</t>
  </si>
  <si>
    <t>19625</t>
  </si>
  <si>
    <t>19626</t>
  </si>
  <si>
    <t>223666/223667</t>
  </si>
  <si>
    <t>10/12/2021</t>
  </si>
  <si>
    <t>679</t>
  </si>
  <si>
    <t>69163</t>
  </si>
  <si>
    <t>ALMACENES SIMAN, S.A DE C.V</t>
  </si>
  <si>
    <t>211904300</t>
  </si>
  <si>
    <t>FREUND, S.A DE C.V</t>
  </si>
  <si>
    <t>2817</t>
  </si>
  <si>
    <t>1733</t>
  </si>
  <si>
    <t>24529</t>
  </si>
  <si>
    <t>14168</t>
  </si>
  <si>
    <t>19894</t>
  </si>
  <si>
    <t>840</t>
  </si>
  <si>
    <t>240</t>
  </si>
  <si>
    <t>241</t>
  </si>
  <si>
    <t>65004</t>
  </si>
  <si>
    <t>213184</t>
  </si>
  <si>
    <t>262</t>
  </si>
  <si>
    <t>253</t>
  </si>
  <si>
    <t>422651</t>
  </si>
  <si>
    <t>66438</t>
  </si>
  <si>
    <t>440235</t>
  </si>
  <si>
    <t>507</t>
  </si>
  <si>
    <t>508</t>
  </si>
  <si>
    <t>444080</t>
  </si>
  <si>
    <t>228516</t>
  </si>
  <si>
    <t>164195/0</t>
  </si>
  <si>
    <t>NIT:1007/011253/001/4</t>
  </si>
  <si>
    <t>131731/5</t>
  </si>
  <si>
    <t>166913/3</t>
  </si>
  <si>
    <t>193/7</t>
  </si>
  <si>
    <t>209211/1</t>
  </si>
  <si>
    <t>8376/3</t>
  </si>
  <si>
    <t>183203/5</t>
  </si>
  <si>
    <t>41/8</t>
  </si>
  <si>
    <t>204145/7</t>
  </si>
  <si>
    <t>111508/1</t>
  </si>
  <si>
    <t>120489/3</t>
  </si>
  <si>
    <t>231038/5</t>
  </si>
  <si>
    <t>302432/4</t>
  </si>
  <si>
    <t>526/6</t>
  </si>
  <si>
    <t>145720/3</t>
  </si>
  <si>
    <t>301/8</t>
  </si>
  <si>
    <t>1096</t>
  </si>
  <si>
    <t>60451</t>
  </si>
  <si>
    <t>222458-2</t>
  </si>
  <si>
    <t>ALFREDO ANTONIO RODRIDUEZ DURAN</t>
  </si>
  <si>
    <t>33671</t>
  </si>
  <si>
    <t>111612-6</t>
  </si>
  <si>
    <t>ROCELI CONSULTORES, S.A DE C.V</t>
  </si>
  <si>
    <t>698</t>
  </si>
  <si>
    <t>699</t>
  </si>
  <si>
    <t>166913-3</t>
  </si>
  <si>
    <t>227075/227076</t>
  </si>
  <si>
    <t>5475</t>
  </si>
  <si>
    <t>190088-8</t>
  </si>
  <si>
    <t>1801</t>
  </si>
  <si>
    <t>8376-3</t>
  </si>
  <si>
    <t>INVERSIONES BOLIVAR, S.A DE C.V</t>
  </si>
  <si>
    <t>924</t>
  </si>
  <si>
    <t>925</t>
  </si>
  <si>
    <t>2121072</t>
  </si>
  <si>
    <t>204145-7</t>
  </si>
  <si>
    <t>145720-3</t>
  </si>
  <si>
    <t>16410</t>
  </si>
  <si>
    <t>491602</t>
  </si>
  <si>
    <t>193-7</t>
  </si>
  <si>
    <t>282808</t>
  </si>
  <si>
    <t>2-7</t>
  </si>
  <si>
    <t>211588375</t>
  </si>
  <si>
    <t>41-8</t>
  </si>
  <si>
    <t>1285</t>
  </si>
  <si>
    <t>1404</t>
  </si>
  <si>
    <t>1405</t>
  </si>
  <si>
    <t>269107</t>
  </si>
  <si>
    <t>248929-2</t>
  </si>
  <si>
    <t>ECSA OPERADORA EL SALVADOR, S.A DE C.V</t>
  </si>
  <si>
    <t>1403</t>
  </si>
  <si>
    <t>512418</t>
  </si>
  <si>
    <t>111508-1</t>
  </si>
  <si>
    <t>279540/279542</t>
  </si>
  <si>
    <t>1667</t>
  </si>
  <si>
    <t>1668</t>
  </si>
  <si>
    <t>314</t>
  </si>
  <si>
    <t>209211-1</t>
  </si>
  <si>
    <t>307955/307956</t>
  </si>
  <si>
    <t>357190</t>
  </si>
  <si>
    <t>120489-3</t>
  </si>
  <si>
    <t>529247</t>
  </si>
  <si>
    <t>1961</t>
  </si>
  <si>
    <t>76438</t>
  </si>
  <si>
    <t>231038-5</t>
  </si>
  <si>
    <t>1910</t>
  </si>
  <si>
    <t>16091</t>
  </si>
  <si>
    <t>18318</t>
  </si>
  <si>
    <t>2164</t>
  </si>
  <si>
    <t>2165</t>
  </si>
  <si>
    <t>1202468</t>
  </si>
  <si>
    <t>78574</t>
  </si>
  <si>
    <t>457412</t>
  </si>
  <si>
    <t>3992</t>
  </si>
  <si>
    <t>2424</t>
  </si>
  <si>
    <t>2422</t>
  </si>
  <si>
    <t>2421</t>
  </si>
  <si>
    <t>273597</t>
  </si>
  <si>
    <t>7137</t>
  </si>
  <si>
    <t>SAN BENITO 530, S.A DE C.V.</t>
  </si>
  <si>
    <t>251608-1</t>
  </si>
  <si>
    <t>569795</t>
  </si>
  <si>
    <t>382</t>
  </si>
  <si>
    <t>8122-1</t>
  </si>
  <si>
    <t>JOSE ANTONIO BRITO MEJIA</t>
  </si>
  <si>
    <t>2526</t>
  </si>
  <si>
    <t>2659</t>
  </si>
  <si>
    <t>352572</t>
  </si>
  <si>
    <t>488895</t>
  </si>
  <si>
    <t>^10070112530014</t>
  </si>
  <si>
    <t>MARZO</t>
  </si>
  <si>
    <t>19518</t>
  </si>
  <si>
    <t>3062</t>
  </si>
  <si>
    <t>COMERCIAL EL ROBLE, S.A DE C.V</t>
  </si>
  <si>
    <t>129193-1</t>
  </si>
  <si>
    <t>77133</t>
  </si>
  <si>
    <t>77877-7</t>
  </si>
  <si>
    <t>PANADERIA LA TECLEÑA, S.A DE C.V</t>
  </si>
  <si>
    <t>1383</t>
  </si>
  <si>
    <t>320383/320384</t>
  </si>
  <si>
    <t>320382</t>
  </si>
  <si>
    <t>813</t>
  </si>
  <si>
    <t>2124</t>
  </si>
  <si>
    <t>2925</t>
  </si>
  <si>
    <t>4960</t>
  </si>
  <si>
    <t>2383</t>
  </si>
  <si>
    <t>169706-1</t>
  </si>
  <si>
    <t>IDEAS PARA CAKES, S.A DE C.V</t>
  </si>
  <si>
    <t>9577</t>
  </si>
  <si>
    <t>8514</t>
  </si>
  <si>
    <t>2433</t>
  </si>
  <si>
    <t>1207396</t>
  </si>
  <si>
    <t>3194</t>
  </si>
  <si>
    <t>3193</t>
  </si>
  <si>
    <t>426809</t>
  </si>
  <si>
    <t>1208343</t>
  </si>
  <si>
    <t>2766</t>
  </si>
  <si>
    <t>302432-4</t>
  </si>
  <si>
    <t>2697</t>
  </si>
  <si>
    <t>103092-2</t>
  </si>
  <si>
    <t>BENJAMIN ORESTES PEREZ PALACIOS</t>
  </si>
  <si>
    <t>338837</t>
  </si>
  <si>
    <t>338835/338836</t>
  </si>
  <si>
    <t>2423</t>
  </si>
  <si>
    <t>3656</t>
  </si>
  <si>
    <t>39939</t>
  </si>
  <si>
    <t>22093</t>
  </si>
  <si>
    <t>124</t>
  </si>
  <si>
    <t>3449</t>
  </si>
  <si>
    <t>3446</t>
  </si>
  <si>
    <t>1612</t>
  </si>
  <si>
    <t>3970</t>
  </si>
  <si>
    <t>3971</t>
  </si>
  <si>
    <t>3972</t>
  </si>
  <si>
    <t>71637</t>
  </si>
  <si>
    <t>2398</t>
  </si>
  <si>
    <t>72911-6</t>
  </si>
  <si>
    <t>COMERCIAL PORTILLO, S.A DE C.V.</t>
  </si>
  <si>
    <t>2185716</t>
  </si>
  <si>
    <t>4231</t>
  </si>
  <si>
    <t>4401</t>
  </si>
  <si>
    <t>4402</t>
  </si>
  <si>
    <t>13494</t>
  </si>
  <si>
    <t>386516</t>
  </si>
  <si>
    <t>386514/'386515</t>
  </si>
  <si>
    <t>2132959</t>
  </si>
  <si>
    <t>4684</t>
  </si>
  <si>
    <t>4685</t>
  </si>
  <si>
    <t>15395</t>
  </si>
  <si>
    <t>126865</t>
  </si>
  <si>
    <t>4751</t>
  </si>
  <si>
    <t>3028</t>
  </si>
  <si>
    <t>282737</t>
  </si>
  <si>
    <t>MAURICIO ALFARO VALIENTE</t>
  </si>
  <si>
    <t>2072255</t>
  </si>
  <si>
    <t>MAYO</t>
  </si>
  <si>
    <t>3412</t>
  </si>
  <si>
    <t>129183-1</t>
  </si>
  <si>
    <t>COMERCIAL EL ROBLE, S.A DE C.V.</t>
  </si>
  <si>
    <t>2295</t>
  </si>
  <si>
    <t>12564</t>
  </si>
  <si>
    <t>2132206</t>
  </si>
  <si>
    <t>14274</t>
  </si>
  <si>
    <t>3244</t>
  </si>
  <si>
    <t>71910-2</t>
  </si>
  <si>
    <t>CARLOS ALBERTO RAMIREZ VALIENTE</t>
  </si>
  <si>
    <t>4942</t>
  </si>
  <si>
    <t>1846</t>
  </si>
  <si>
    <t>2015</t>
  </si>
  <si>
    <t>2441</t>
  </si>
  <si>
    <t>1216753</t>
  </si>
  <si>
    <t>99073</t>
  </si>
  <si>
    <t>5174</t>
  </si>
  <si>
    <t>44981</t>
  </si>
  <si>
    <t>2862</t>
  </si>
  <si>
    <t>388709</t>
  </si>
  <si>
    <t>388708</t>
  </si>
  <si>
    <t>5483</t>
  </si>
  <si>
    <t>2135528</t>
  </si>
  <si>
    <t>15536/15537</t>
  </si>
  <si>
    <t>5678</t>
  </si>
  <si>
    <t>5679</t>
  </si>
  <si>
    <t>5680</t>
  </si>
  <si>
    <t>3461</t>
  </si>
  <si>
    <t>131731-5</t>
  </si>
  <si>
    <t>11104</t>
  </si>
  <si>
    <t>4291</t>
  </si>
  <si>
    <t>3633</t>
  </si>
  <si>
    <t>85205</t>
  </si>
  <si>
    <t>2707</t>
  </si>
  <si>
    <t>IDEAS PARA CAKES, S.A DE C.V.</t>
  </si>
  <si>
    <t>5926</t>
  </si>
  <si>
    <t>207239</t>
  </si>
  <si>
    <t>381</t>
  </si>
  <si>
    <t>JUNIO</t>
  </si>
  <si>
    <t>11903</t>
  </si>
  <si>
    <t>500680</t>
  </si>
  <si>
    <t>2252</t>
  </si>
  <si>
    <t>6266</t>
  </si>
  <si>
    <t>6267</t>
  </si>
  <si>
    <t>75504</t>
  </si>
  <si>
    <t>102651-8</t>
  </si>
  <si>
    <t>OPERADORA DEL SUR, S.A DE C.V</t>
  </si>
  <si>
    <t>27126</t>
  </si>
  <si>
    <t>12696</t>
  </si>
  <si>
    <t>6488</t>
  </si>
  <si>
    <t>702083</t>
  </si>
  <si>
    <t>249575</t>
  </si>
  <si>
    <t>4692</t>
  </si>
  <si>
    <t>230611-9</t>
  </si>
  <si>
    <t>INVERSIONES MAREM, S.A DE C.V.</t>
  </si>
  <si>
    <t>103709</t>
  </si>
  <si>
    <t>142201-0</t>
  </si>
  <si>
    <t>MARIO ALBERTO MIRANDA</t>
  </si>
  <si>
    <t>6791</t>
  </si>
  <si>
    <t>6792</t>
  </si>
  <si>
    <t>7032</t>
  </si>
  <si>
    <t>7033</t>
  </si>
  <si>
    <t>7030</t>
  </si>
  <si>
    <t>30269</t>
  </si>
  <si>
    <t>515</t>
  </si>
  <si>
    <t>JOSE ANTONIO BRITO GUTIERREZ</t>
  </si>
  <si>
    <t>24197</t>
  </si>
  <si>
    <t>12655</t>
  </si>
  <si>
    <t>2775</t>
  </si>
  <si>
    <t>21</t>
  </si>
  <si>
    <t>158465-5</t>
  </si>
  <si>
    <t>EVER ERNESTO PANIAGUA ECHEVERRIA</t>
  </si>
  <si>
    <t>16232</t>
  </si>
  <si>
    <t>183203-5</t>
  </si>
  <si>
    <t>1223787</t>
  </si>
  <si>
    <t>2716</t>
  </si>
  <si>
    <t>6489</t>
  </si>
  <si>
    <t>JULIO</t>
  </si>
  <si>
    <t>526698/52669</t>
  </si>
  <si>
    <t>122986</t>
  </si>
  <si>
    <t>2755</t>
  </si>
  <si>
    <t>2756</t>
  </si>
  <si>
    <t>7288</t>
  </si>
  <si>
    <t>7290</t>
  </si>
  <si>
    <t>6596</t>
  </si>
  <si>
    <t>2664</t>
  </si>
  <si>
    <t>106970</t>
  </si>
  <si>
    <t>184617</t>
  </si>
  <si>
    <t>136787</t>
  </si>
  <si>
    <t>313318</t>
  </si>
  <si>
    <t>2917</t>
  </si>
  <si>
    <t>22718</t>
  </si>
  <si>
    <t>4286</t>
  </si>
  <si>
    <t>68</t>
  </si>
  <si>
    <t>298525-9</t>
  </si>
  <si>
    <t>ANA CRISTINA BRITO NAVARRO</t>
  </si>
  <si>
    <t>138966</t>
  </si>
  <si>
    <t>7784</t>
  </si>
  <si>
    <t>139449</t>
  </si>
  <si>
    <t>187007</t>
  </si>
  <si>
    <t>508715</t>
  </si>
  <si>
    <t>25772</t>
  </si>
  <si>
    <t>1535</t>
  </si>
  <si>
    <t>1534</t>
  </si>
  <si>
    <t>8027</t>
  </si>
  <si>
    <t>8028</t>
  </si>
  <si>
    <t>82118/82119</t>
  </si>
  <si>
    <t>12910</t>
  </si>
  <si>
    <t>180741-2</t>
  </si>
  <si>
    <t>COMBUSTIBLES CUSCATLAN, S.A. DE C.V.</t>
  </si>
  <si>
    <t>187952</t>
  </si>
  <si>
    <t>7968</t>
  </si>
  <si>
    <t>86</t>
  </si>
  <si>
    <t>177339</t>
  </si>
  <si>
    <t>70723-9</t>
  </si>
  <si>
    <t>SERVICIOS FINANCIEROS, S.A DE C.V.</t>
  </si>
  <si>
    <t>200019</t>
  </si>
  <si>
    <t>231723</t>
  </si>
  <si>
    <t>237207</t>
  </si>
  <si>
    <t>241318</t>
  </si>
  <si>
    <t>269775</t>
  </si>
  <si>
    <t>275044</t>
  </si>
  <si>
    <t>295634</t>
  </si>
  <si>
    <t>307017</t>
  </si>
  <si>
    <t>312246</t>
  </si>
  <si>
    <t>327984</t>
  </si>
  <si>
    <t>339670</t>
  </si>
  <si>
    <t>349812</t>
  </si>
  <si>
    <t>366548</t>
  </si>
  <si>
    <t>383990</t>
  </si>
  <si>
    <t>416504</t>
  </si>
  <si>
    <t>421492</t>
  </si>
  <si>
    <t>426679</t>
  </si>
  <si>
    <t>442005</t>
  </si>
  <si>
    <t>493136</t>
  </si>
  <si>
    <t>499331</t>
  </si>
  <si>
    <t>505079</t>
  </si>
  <si>
    <t>513141</t>
  </si>
  <si>
    <t>509323</t>
  </si>
  <si>
    <t>571078</t>
  </si>
  <si>
    <t>577286</t>
  </si>
  <si>
    <t>582934</t>
  </si>
  <si>
    <t>587335</t>
  </si>
  <si>
    <t>593063</t>
  </si>
  <si>
    <t>598776</t>
  </si>
  <si>
    <t>604593</t>
  </si>
  <si>
    <t>616452</t>
  </si>
  <si>
    <t>ANULADO</t>
  </si>
  <si>
    <t>F.simplificada</t>
  </si>
  <si>
    <t>F.Consumido Final</t>
  </si>
  <si>
    <t>AGOSTO</t>
  </si>
  <si>
    <t>3105</t>
  </si>
  <si>
    <t>0043</t>
  </si>
  <si>
    <t>2995</t>
  </si>
  <si>
    <t>8321</t>
  </si>
  <si>
    <t>18149</t>
  </si>
  <si>
    <t>1232197</t>
  </si>
  <si>
    <t>27331/27332</t>
  </si>
  <si>
    <t>8545</t>
  </si>
  <si>
    <t>166327</t>
  </si>
  <si>
    <t>117537-6</t>
  </si>
  <si>
    <t>DISTRIBUIDORA DE LUBRICANTES, S.A DE C.V</t>
  </si>
  <si>
    <t>3130545</t>
  </si>
  <si>
    <t>8819</t>
  </si>
  <si>
    <t>8820</t>
  </si>
  <si>
    <t>399558</t>
  </si>
  <si>
    <t>147580</t>
  </si>
  <si>
    <t>148637</t>
  </si>
  <si>
    <t>9033</t>
  </si>
  <si>
    <t>9034</t>
  </si>
  <si>
    <t>1234946</t>
  </si>
  <si>
    <t>129770</t>
  </si>
  <si>
    <t>43488</t>
  </si>
  <si>
    <t>2148881</t>
  </si>
  <si>
    <t>74</t>
  </si>
  <si>
    <t>9286</t>
  </si>
  <si>
    <t>9338</t>
  </si>
  <si>
    <t>678269</t>
  </si>
  <si>
    <t>688217</t>
  </si>
  <si>
    <t>728559</t>
  </si>
  <si>
    <t>734090</t>
  </si>
  <si>
    <t>777795</t>
  </si>
  <si>
    <t>789308</t>
  </si>
  <si>
    <t>807330</t>
  </si>
  <si>
    <t>812978</t>
  </si>
  <si>
    <t>septiembre</t>
  </si>
  <si>
    <t>SEPTIEMBRE</t>
  </si>
  <si>
    <t>126665/126666</t>
  </si>
  <si>
    <t>5043</t>
  </si>
  <si>
    <t>3186</t>
  </si>
  <si>
    <t>105</t>
  </si>
  <si>
    <t>20454</t>
  </si>
  <si>
    <t>713874</t>
  </si>
  <si>
    <t>532442</t>
  </si>
  <si>
    <t>187604-7</t>
  </si>
  <si>
    <t>GUILLERMO E. MIGUEL B.</t>
  </si>
  <si>
    <t>123</t>
  </si>
  <si>
    <t>334</t>
  </si>
  <si>
    <t>153760</t>
  </si>
  <si>
    <t>452740</t>
  </si>
  <si>
    <t>9641</t>
  </si>
  <si>
    <t>9642</t>
  </si>
  <si>
    <t>15650</t>
  </si>
  <si>
    <t>152</t>
  </si>
  <si>
    <t>9654</t>
  </si>
  <si>
    <t>5227</t>
  </si>
  <si>
    <t>47993</t>
  </si>
  <si>
    <t>9867</t>
  </si>
  <si>
    <t>9868</t>
  </si>
  <si>
    <t>6661</t>
  </si>
  <si>
    <t>188</t>
  </si>
  <si>
    <t>30209</t>
  </si>
  <si>
    <t>143871</t>
  </si>
  <si>
    <t>10117</t>
  </si>
  <si>
    <t>10184</t>
  </si>
  <si>
    <t>3252</t>
  </si>
  <si>
    <t>197186</t>
  </si>
  <si>
    <t>65240</t>
  </si>
  <si>
    <t>501275</t>
  </si>
  <si>
    <t>1240857</t>
  </si>
  <si>
    <t>10375</t>
  </si>
  <si>
    <t>10376</t>
  </si>
  <si>
    <t>504395</t>
  </si>
  <si>
    <t>54237</t>
  </si>
  <si>
    <t>242332</t>
  </si>
  <si>
    <t>242330/242331</t>
  </si>
  <si>
    <t>242334</t>
  </si>
  <si>
    <t>14147</t>
  </si>
  <si>
    <t>958935</t>
  </si>
  <si>
    <t>893930</t>
  </si>
  <si>
    <t>888327</t>
  </si>
  <si>
    <t>858438</t>
  </si>
  <si>
    <t>856499</t>
  </si>
  <si>
    <t>OCTUBRE</t>
  </si>
  <si>
    <t>11159</t>
  </si>
  <si>
    <t>10652</t>
  </si>
  <si>
    <t>10653</t>
  </si>
  <si>
    <t>413</t>
  </si>
  <si>
    <t>50954</t>
  </si>
  <si>
    <t>169208/169209</t>
  </si>
  <si>
    <t>445167</t>
  </si>
  <si>
    <t>529487</t>
  </si>
  <si>
    <t>44085</t>
  </si>
  <si>
    <t>10955</t>
  </si>
  <si>
    <t>2154609</t>
  </si>
  <si>
    <t>544878</t>
  </si>
  <si>
    <t>927</t>
  </si>
  <si>
    <t>918</t>
  </si>
  <si>
    <t>11220</t>
  </si>
  <si>
    <t>11215</t>
  </si>
  <si>
    <t>557734</t>
  </si>
  <si>
    <t>1244661</t>
  </si>
  <si>
    <t>11360</t>
  </si>
  <si>
    <t>349</t>
  </si>
  <si>
    <t>525440</t>
  </si>
  <si>
    <t>575624</t>
  </si>
  <si>
    <t>11511</t>
  </si>
  <si>
    <t>581895</t>
  </si>
  <si>
    <t>28298</t>
  </si>
  <si>
    <t>2156516</t>
  </si>
  <si>
    <t>1246199</t>
  </si>
  <si>
    <t>NOVIEMBRE</t>
  </si>
  <si>
    <t>11750</t>
  </si>
  <si>
    <t>11751</t>
  </si>
  <si>
    <t>448394</t>
  </si>
  <si>
    <t>239</t>
  </si>
  <si>
    <t>124829-2</t>
  </si>
  <si>
    <t>UNION COMERCIAL DE EL SALVADOR, S.A DE C.V.</t>
  </si>
  <si>
    <t>763</t>
  </si>
  <si>
    <t>1247137</t>
  </si>
  <si>
    <t>12077</t>
  </si>
  <si>
    <t>12078</t>
  </si>
  <si>
    <t>11421</t>
  </si>
  <si>
    <t>395453</t>
  </si>
  <si>
    <t>206074/206075</t>
  </si>
  <si>
    <t>23991</t>
  </si>
  <si>
    <t>12309</t>
  </si>
  <si>
    <t>12310</t>
  </si>
  <si>
    <t>629539</t>
  </si>
  <si>
    <t>530488</t>
  </si>
  <si>
    <t>11762</t>
  </si>
  <si>
    <t>12650</t>
  </si>
  <si>
    <t>12652</t>
  </si>
  <si>
    <t>12722</t>
  </si>
  <si>
    <t>2956</t>
  </si>
  <si>
    <t>114814-0</t>
  </si>
  <si>
    <t>FARDEDI, S.A DE C.V.</t>
  </si>
  <si>
    <t>3455</t>
  </si>
  <si>
    <t>246589/246590</t>
  </si>
  <si>
    <t>1251158</t>
  </si>
  <si>
    <t>12649</t>
  </si>
  <si>
    <t>12944</t>
  </si>
  <si>
    <t>12943</t>
  </si>
  <si>
    <t>141</t>
  </si>
  <si>
    <t>N</t>
  </si>
  <si>
    <t>1236</t>
  </si>
  <si>
    <t>66116</t>
  </si>
  <si>
    <t>325464</t>
  </si>
  <si>
    <t>22063</t>
  </si>
  <si>
    <t>96372-0</t>
  </si>
  <si>
    <t>EDWARD LEONIDAS GUTIERREZ PORTILLO</t>
  </si>
  <si>
    <t>1065</t>
  </si>
  <si>
    <t>13258</t>
  </si>
  <si>
    <t>643269</t>
  </si>
  <si>
    <t>1232345</t>
  </si>
  <si>
    <t>692973</t>
  </si>
  <si>
    <t>273908</t>
  </si>
  <si>
    <t>1253313</t>
  </si>
  <si>
    <t>698222</t>
  </si>
  <si>
    <t>2013</t>
  </si>
  <si>
    <t>35598-4</t>
  </si>
  <si>
    <t>ANA ALICIA DREYFUS DE AVELAR PANADERIA</t>
  </si>
  <si>
    <t>anulado</t>
  </si>
  <si>
    <t>RICARDO ERNESTO GIRON SANTOS</t>
  </si>
  <si>
    <t>OPERADORA DEL SUR, S.A DE C.V.</t>
  </si>
  <si>
    <t>325462/325462</t>
  </si>
  <si>
    <t>13259</t>
  </si>
  <si>
    <t>273906/273907</t>
  </si>
  <si>
    <t>13583</t>
  </si>
  <si>
    <t>13584</t>
  </si>
  <si>
    <t>12398</t>
  </si>
  <si>
    <t>355267</t>
  </si>
  <si>
    <t>125262-2</t>
  </si>
  <si>
    <t>MOPT</t>
  </si>
  <si>
    <t>32344</t>
  </si>
  <si>
    <t>718241</t>
  </si>
  <si>
    <t>729307</t>
  </si>
  <si>
    <t>728696</t>
  </si>
  <si>
    <t>14058</t>
  </si>
  <si>
    <t>0764</t>
  </si>
  <si>
    <t>1255282</t>
  </si>
  <si>
    <t>14189</t>
  </si>
  <si>
    <t>736333</t>
  </si>
  <si>
    <t>736062</t>
  </si>
  <si>
    <t>731446</t>
  </si>
  <si>
    <t>54562</t>
  </si>
  <si>
    <t>282176</t>
  </si>
  <si>
    <t>282177</t>
  </si>
  <si>
    <t>14317</t>
  </si>
  <si>
    <t>14318</t>
  </si>
  <si>
    <t>330600</t>
  </si>
  <si>
    <t>751313</t>
  </si>
  <si>
    <t>73200</t>
  </si>
  <si>
    <t>2164586</t>
  </si>
  <si>
    <t>14059</t>
  </si>
  <si>
    <t>1012204</t>
  </si>
  <si>
    <t>1026827</t>
  </si>
  <si>
    <t>1047481</t>
  </si>
  <si>
    <t>1091440</t>
  </si>
  <si>
    <t>1205675</t>
  </si>
  <si>
    <t>1113801</t>
  </si>
  <si>
    <t>1132212</t>
  </si>
  <si>
    <t>1173275</t>
  </si>
  <si>
    <t>1207898</t>
  </si>
  <si>
    <t>1319654</t>
  </si>
  <si>
    <t>1349431</t>
  </si>
  <si>
    <t>1475321</t>
  </si>
  <si>
    <t>1521609</t>
  </si>
  <si>
    <t>1547868</t>
  </si>
  <si>
    <t>1184651</t>
  </si>
  <si>
    <t>70923-9</t>
  </si>
  <si>
    <t>14528</t>
  </si>
  <si>
    <t>14529</t>
  </si>
  <si>
    <t>1411</t>
  </si>
  <si>
    <t>310615/310616</t>
  </si>
  <si>
    <t>1257693</t>
  </si>
  <si>
    <t>14866</t>
  </si>
  <si>
    <t>13295</t>
  </si>
  <si>
    <t>75361</t>
  </si>
  <si>
    <t>890860</t>
  </si>
  <si>
    <t>2228327</t>
  </si>
  <si>
    <t>24181</t>
  </si>
  <si>
    <t>150063</t>
  </si>
  <si>
    <t>324498/324499</t>
  </si>
  <si>
    <t>2228265</t>
  </si>
  <si>
    <t>15297</t>
  </si>
  <si>
    <t>2229208</t>
  </si>
  <si>
    <t>12551</t>
  </si>
  <si>
    <t>340</t>
  </si>
  <si>
    <t>2167675</t>
  </si>
  <si>
    <t>353143/353144</t>
  </si>
  <si>
    <t>2168337</t>
  </si>
  <si>
    <t>GRUPO NSV.LTDA  DE C.V.</t>
  </si>
  <si>
    <t>15601</t>
  </si>
  <si>
    <t>15602</t>
  </si>
  <si>
    <t>30268</t>
  </si>
  <si>
    <t>810</t>
  </si>
  <si>
    <t>14287</t>
  </si>
  <si>
    <t>39790</t>
  </si>
  <si>
    <t>98</t>
  </si>
  <si>
    <t>126369-0</t>
  </si>
  <si>
    <t>BLANCA MARINA ZAPATA DE CASTILLO</t>
  </si>
  <si>
    <t>Anulado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</si>
</sst>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[$$-409]#,##0.00"/>
    <numFmt numFmtId="166" formatCode="dd/mm/yyyy"/>
  </numFmts>
  <fonts count="73">
    <font>
      <sz val="10"/>
      <name val="Arial"/>
    </font>
    <font>
      <sz val="10"/>
      <name val="Arial"/>
      <family val="2"/>
    </font>
    <font>
      <sz val="10"/>
      <name val="Arial Rounded MT Bold"/>
      <family val="2"/>
    </font>
    <font>
      <b/>
      <sz val="10"/>
      <name val="Arial"/>
      <family val="2"/>
    </font>
    <font>
      <b/>
      <sz val="8"/>
      <name val="Arial Unicode MS"/>
      <family val="2"/>
    </font>
    <font>
      <b/>
      <sz val="10"/>
      <name val="Algerian"/>
      <family val="5"/>
    </font>
    <font>
      <sz val="10"/>
      <name val="Arial Unicode MS"/>
      <family val="2"/>
    </font>
    <font>
      <sz val="10"/>
      <name val="Copperplate Gothic Bold"/>
      <family val="2"/>
    </font>
    <font>
      <sz val="9"/>
      <name val="Century Schoolbook"/>
      <family val="1"/>
    </font>
    <font>
      <b/>
      <sz val="10"/>
      <name val="Arial Rounded MT Bold"/>
      <family val="2"/>
    </font>
    <font>
      <b/>
      <sz val="10"/>
      <name val="Arial Unicode MS"/>
      <family val="2"/>
    </font>
    <font>
      <sz val="10"/>
      <name val="Comic Sans MS"/>
      <family val="4"/>
    </font>
    <font>
      <sz val="8"/>
      <name val="Arial Unicode MS"/>
      <family val="2"/>
    </font>
    <font>
      <b/>
      <sz val="10"/>
      <name val="Bookman Old Style"/>
      <family val="1"/>
    </font>
    <font>
      <b/>
      <sz val="12"/>
      <name val="Arial Black"/>
      <family val="2"/>
    </font>
    <font>
      <sz val="8"/>
      <name val="Arial Black"/>
      <family val="2"/>
    </font>
    <font>
      <b/>
      <sz val="8"/>
      <name val="Arial"/>
      <family val="2"/>
    </font>
    <font>
      <b/>
      <sz val="11"/>
      <name val="Century"/>
      <family val="1"/>
    </font>
    <font>
      <sz val="8"/>
      <name val="Arial"/>
      <family val="2"/>
    </font>
    <font>
      <b/>
      <sz val="7"/>
      <name val="Arial Unicode MS"/>
      <family val="2"/>
    </font>
    <font>
      <sz val="10"/>
      <name val="Arial"/>
      <family val="2"/>
    </font>
    <font>
      <sz val="9"/>
      <name val="Arial"/>
      <family val="2"/>
    </font>
    <font>
      <sz val="10"/>
      <name val="@Batang"/>
      <family val="1"/>
    </font>
    <font>
      <b/>
      <sz val="10"/>
      <name val="@Batang"/>
      <family val="1"/>
    </font>
    <font>
      <b/>
      <sz val="10"/>
      <name val="Arial Black"/>
      <family val="2"/>
    </font>
    <font>
      <b/>
      <sz val="12"/>
      <name val="Castellar"/>
      <family val="1"/>
    </font>
    <font>
      <sz val="10"/>
      <name val="@Arial Unicode MS"/>
      <family val="2"/>
    </font>
    <font>
      <b/>
      <sz val="10"/>
      <name val="@Arial Unicode MS"/>
      <family val="2"/>
    </font>
    <font>
      <b/>
      <sz val="9"/>
      <name val="@Arial Unicode MS"/>
      <family val="2"/>
    </font>
    <font>
      <b/>
      <sz val="8"/>
      <name val="@Arial Unicode MS"/>
      <family val="2"/>
    </font>
    <font>
      <sz val="10"/>
      <name val="Century Gothic"/>
      <family val="2"/>
    </font>
    <font>
      <sz val="12"/>
      <name val="Castellar"/>
      <family val="1"/>
    </font>
    <font>
      <sz val="11"/>
      <name val="@Arial Unicode MS"/>
      <family val="2"/>
    </font>
    <font>
      <b/>
      <sz val="7"/>
      <color indexed="8"/>
      <name val="Arial Unicode MS"/>
      <family val="2"/>
    </font>
    <font>
      <sz val="8"/>
      <name val="Cambria"/>
      <family val="1"/>
    </font>
    <font>
      <b/>
      <sz val="11"/>
      <name val="Arial Unicode MS"/>
      <family val="2"/>
    </font>
    <font>
      <sz val="10"/>
      <name val="@Arial Unicode MS"/>
    </font>
    <font>
      <sz val="8"/>
      <name val="@Arial Unicode MS"/>
    </font>
    <font>
      <sz val="11"/>
      <name val="@Arial Unicode MS"/>
    </font>
    <font>
      <i/>
      <sz val="10"/>
      <name val="Century Gothic"/>
      <family val="2"/>
    </font>
    <font>
      <sz val="9"/>
      <name val="Arial Unicode MS"/>
      <family val="2"/>
    </font>
    <font>
      <sz val="7"/>
      <name val="Arial Unicode MS"/>
      <family val="2"/>
    </font>
    <font>
      <sz val="11"/>
      <name val="@PMingLiU"/>
      <family val="1"/>
    </font>
    <font>
      <b/>
      <sz val="11"/>
      <name val="Arial"/>
      <family val="2"/>
    </font>
    <font>
      <sz val="18"/>
      <name val="Arial"/>
      <family val="2"/>
    </font>
    <font>
      <sz val="18"/>
      <color rgb="FF00B0F0"/>
      <name val="Arial"/>
      <family val="2"/>
    </font>
    <font>
      <b/>
      <sz val="9"/>
      <name val="Latha"/>
      <family val="2"/>
    </font>
    <font>
      <sz val="9"/>
      <name val="Cambria"/>
      <family val="1"/>
    </font>
    <font>
      <sz val="10"/>
      <color rgb="FFFF0000"/>
      <name val="Arial"/>
      <family val="2"/>
    </font>
    <font>
      <sz val="9"/>
      <color rgb="FFFF0000"/>
      <name val="Arial Unicode MS"/>
      <family val="2"/>
    </font>
    <font>
      <b/>
      <sz val="10"/>
      <color rgb="FFFF0000"/>
      <name val="Arial"/>
      <family val="2"/>
    </font>
    <font>
      <b/>
      <sz val="8"/>
      <color theme="4" tint="-0.499984740745262"/>
      <name val="@Arial Unicode MS"/>
    </font>
    <font>
      <b/>
      <sz val="12"/>
      <color theme="4" tint="-0.499984740745262"/>
      <name val="@Arial Unicode MS"/>
    </font>
    <font>
      <sz val="7"/>
      <color rgb="FFFF0000"/>
      <name val="Arial Unicode MS"/>
      <family val="2"/>
    </font>
    <font>
      <sz val="9"/>
      <color rgb="FFFF0000"/>
      <name val="Arial"/>
      <family val="2"/>
    </font>
    <font>
      <b/>
      <sz val="9"/>
      <name val="Arial Unicode MS"/>
      <family val="2"/>
    </font>
    <font>
      <b/>
      <sz val="10"/>
      <name val="Latha"/>
      <family val="2"/>
    </font>
    <font>
      <sz val="10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sz val="10"/>
      <color theme="3" tint="-0.499984740745262"/>
      <name val="Arial"/>
      <family val="2"/>
    </font>
    <font>
      <sz val="10"/>
      <color theme="3" tint="-0.499984740745262"/>
      <name val="Comic Sans MS"/>
      <family val="4"/>
    </font>
    <font>
      <sz val="10"/>
      <color theme="1"/>
      <name val="Arial"/>
      <family val="2"/>
    </font>
    <font>
      <sz val="9"/>
      <color theme="1"/>
      <name val="Arial Unicode MS"/>
      <family val="2"/>
    </font>
    <font>
      <sz val="7"/>
      <color theme="1"/>
      <name val="Arial Unicode MS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name val="Century Gothic"/>
      <family val="2"/>
    </font>
    <font>
      <sz val="10"/>
      <color rgb="FFFF0000"/>
      <name val="Comic Sans MS"/>
      <family val="4"/>
    </font>
    <font>
      <b/>
      <sz val="12"/>
      <name val="Arial"/>
      <family val="2"/>
    </font>
    <font>
      <sz val="10"/>
      <color theme="7" tint="-0.249977111117893"/>
      <name val="Arial"/>
      <family val="2"/>
    </font>
    <font>
      <sz val="10"/>
      <color theme="7" tint="-0.249977111117893"/>
      <name val="Comic Sans MS"/>
      <family val="4"/>
    </font>
    <font>
      <sz val="10"/>
      <color theme="8" tint="0.39997558519241921"/>
      <name val="Arial"/>
      <family val="2"/>
    </font>
    <font>
      <b/>
      <sz val="10"/>
      <color theme="8" tint="0.3999755851924192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4" tint="0.79998168889431442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2" fillId="0" borderId="0" xfId="0" applyFont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0" fillId="0" borderId="2" xfId="0" applyNumberFormat="1" applyBorder="1"/>
    <xf numFmtId="4" fontId="0" fillId="0" borderId="9" xfId="0" applyNumberFormat="1" applyBorder="1"/>
    <xf numFmtId="164" fontId="6" fillId="0" borderId="1" xfId="0" applyNumberFormat="1" applyFont="1" applyBorder="1"/>
    <xf numFmtId="164" fontId="6" fillId="0" borderId="10" xfId="0" applyNumberFormat="1" applyFont="1" applyBorder="1"/>
    <xf numFmtId="164" fontId="6" fillId="0" borderId="11" xfId="0" applyNumberFormat="1" applyFont="1" applyBorder="1"/>
    <xf numFmtId="164" fontId="6" fillId="0" borderId="12" xfId="0" applyNumberFormat="1" applyFont="1" applyBorder="1"/>
    <xf numFmtId="164" fontId="6" fillId="0" borderId="3" xfId="0" applyNumberFormat="1" applyFont="1" applyBorder="1"/>
    <xf numFmtId="164" fontId="6" fillId="0" borderId="13" xfId="0" applyNumberFormat="1" applyFont="1" applyBorder="1"/>
    <xf numFmtId="0" fontId="7" fillId="0" borderId="14" xfId="0" applyFont="1" applyBorder="1"/>
    <xf numFmtId="0" fontId="8" fillId="0" borderId="0" xfId="0" applyFont="1"/>
    <xf numFmtId="4" fontId="6" fillId="0" borderId="10" xfId="0" applyNumberFormat="1" applyFont="1" applyBorder="1"/>
    <xf numFmtId="0" fontId="9" fillId="0" borderId="0" xfId="0" applyFont="1"/>
    <xf numFmtId="0" fontId="14" fillId="0" borderId="0" xfId="0" applyFont="1" applyAlignment="1">
      <alignment horizontal="left"/>
    </xf>
    <xf numFmtId="0" fontId="5" fillId="0" borderId="0" xfId="0" applyFont="1"/>
    <xf numFmtId="0" fontId="15" fillId="0" borderId="0" xfId="0" applyFont="1"/>
    <xf numFmtId="4" fontId="11" fillId="0" borderId="1" xfId="0" applyNumberFormat="1" applyFont="1" applyBorder="1"/>
    <xf numFmtId="4" fontId="0" fillId="0" borderId="0" xfId="0" applyNumberFormat="1"/>
    <xf numFmtId="165" fontId="3" fillId="0" borderId="0" xfId="0" applyNumberFormat="1" applyFont="1"/>
    <xf numFmtId="165" fontId="0" fillId="0" borderId="0" xfId="0" applyNumberFormat="1"/>
    <xf numFmtId="0" fontId="7" fillId="0" borderId="0" xfId="0" applyFont="1"/>
    <xf numFmtId="0" fontId="18" fillId="0" borderId="1" xfId="0" applyFont="1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4" fontId="6" fillId="0" borderId="0" xfId="0" applyNumberFormat="1" applyFont="1"/>
    <xf numFmtId="164" fontId="6" fillId="0" borderId="17" xfId="0" applyNumberFormat="1" applyFont="1" applyBorder="1"/>
    <xf numFmtId="44" fontId="0" fillId="0" borderId="0" xfId="2" applyFont="1" applyFill="1" applyBorder="1"/>
    <xf numFmtId="43" fontId="0" fillId="0" borderId="0" xfId="1" applyFont="1" applyBorder="1"/>
    <xf numFmtId="0" fontId="18" fillId="0" borderId="0" xfId="0" applyFont="1"/>
    <xf numFmtId="0" fontId="16" fillId="0" borderId="0" xfId="0" applyFont="1"/>
    <xf numFmtId="44" fontId="3" fillId="0" borderId="0" xfId="2" applyFont="1" applyFill="1" applyBorder="1"/>
    <xf numFmtId="43" fontId="3" fillId="0" borderId="0" xfId="1" applyFont="1" applyBorder="1"/>
    <xf numFmtId="0" fontId="3" fillId="0" borderId="0" xfId="0" applyFont="1"/>
    <xf numFmtId="0" fontId="0" fillId="0" borderId="18" xfId="0" applyBorder="1"/>
    <xf numFmtId="44" fontId="16" fillId="0" borderId="19" xfId="2" applyFont="1" applyFill="1" applyBorder="1"/>
    <xf numFmtId="44" fontId="0" fillId="0" borderId="19" xfId="2" applyFont="1" applyFill="1" applyBorder="1"/>
    <xf numFmtId="0" fontId="0" fillId="0" borderId="20" xfId="0" applyBorder="1"/>
    <xf numFmtId="0" fontId="16" fillId="0" borderId="21" xfId="0" applyFont="1" applyBorder="1" applyAlignment="1">
      <alignment horizontal="center"/>
    </xf>
    <xf numFmtId="44" fontId="16" fillId="0" borderId="22" xfId="2" applyFont="1" applyFill="1" applyBorder="1" applyAlignment="1">
      <alignment horizontal="center"/>
    </xf>
    <xf numFmtId="44" fontId="16" fillId="0" borderId="21" xfId="2" applyFont="1" applyFill="1" applyBorder="1" applyAlignment="1">
      <alignment horizontal="center"/>
    </xf>
    <xf numFmtId="43" fontId="16" fillId="0" borderId="21" xfId="1" applyFont="1" applyBorder="1"/>
    <xf numFmtId="0" fontId="16" fillId="0" borderId="18" xfId="0" applyFont="1" applyBorder="1"/>
    <xf numFmtId="0" fontId="18" fillId="0" borderId="23" xfId="0" applyFont="1" applyBorder="1"/>
    <xf numFmtId="0" fontId="16" fillId="0" borderId="23" xfId="0" applyFont="1" applyBorder="1"/>
    <xf numFmtId="0" fontId="21" fillId="0" borderId="24" xfId="0" applyFont="1" applyBorder="1"/>
    <xf numFmtId="0" fontId="0" fillId="0" borderId="25" xfId="0" applyBorder="1"/>
    <xf numFmtId="4" fontId="22" fillId="0" borderId="23" xfId="2" applyNumberFormat="1" applyFont="1" applyFill="1" applyBorder="1"/>
    <xf numFmtId="4" fontId="22" fillId="0" borderId="23" xfId="1" applyNumberFormat="1" applyFont="1" applyBorder="1"/>
    <xf numFmtId="4" fontId="22" fillId="0" borderId="23" xfId="0" applyNumberFormat="1" applyFont="1" applyBorder="1"/>
    <xf numFmtId="4" fontId="22" fillId="0" borderId="22" xfId="2" applyNumberFormat="1" applyFont="1" applyFill="1" applyBorder="1"/>
    <xf numFmtId="4" fontId="22" fillId="0" borderId="22" xfId="1" applyNumberFormat="1" applyFont="1" applyBorder="1"/>
    <xf numFmtId="4" fontId="22" fillId="0" borderId="22" xfId="0" applyNumberFormat="1" applyFont="1" applyBorder="1"/>
    <xf numFmtId="4" fontId="23" fillId="0" borderId="23" xfId="2" applyNumberFormat="1" applyFont="1" applyFill="1" applyBorder="1"/>
    <xf numFmtId="4" fontId="23" fillId="0" borderId="23" xfId="1" applyNumberFormat="1" applyFont="1" applyBorder="1"/>
    <xf numFmtId="4" fontId="23" fillId="0" borderId="23" xfId="0" applyNumberFormat="1" applyFont="1" applyBorder="1"/>
    <xf numFmtId="4" fontId="22" fillId="0" borderId="24" xfId="2" applyNumberFormat="1" applyFont="1" applyFill="1" applyBorder="1"/>
    <xf numFmtId="4" fontId="22" fillId="0" borderId="24" xfId="1" applyNumberFormat="1" applyFont="1" applyBorder="1"/>
    <xf numFmtId="4" fontId="22" fillId="0" borderId="24" xfId="0" applyNumberFormat="1" applyFont="1" applyBorder="1"/>
    <xf numFmtId="4" fontId="22" fillId="0" borderId="25" xfId="2" applyNumberFormat="1" applyFont="1" applyFill="1" applyBorder="1"/>
    <xf numFmtId="4" fontId="22" fillId="0" borderId="25" xfId="1" applyNumberFormat="1" applyFont="1" applyBorder="1"/>
    <xf numFmtId="4" fontId="22" fillId="0" borderId="25" xfId="0" applyNumberFormat="1" applyFont="1" applyBorder="1"/>
    <xf numFmtId="4" fontId="23" fillId="0" borderId="26" xfId="2" applyNumberFormat="1" applyFont="1" applyFill="1" applyBorder="1"/>
    <xf numFmtId="4" fontId="23" fillId="0" borderId="26" xfId="1" applyNumberFormat="1" applyFont="1" applyBorder="1"/>
    <xf numFmtId="164" fontId="23" fillId="0" borderId="26" xfId="2" applyNumberFormat="1" applyFont="1" applyFill="1" applyBorder="1"/>
    <xf numFmtId="0" fontId="11" fillId="0" borderId="0" xfId="0" applyFont="1"/>
    <xf numFmtId="0" fontId="25" fillId="0" borderId="0" xfId="0" applyFont="1" applyAlignment="1">
      <alignment horizontal="center"/>
    </xf>
    <xf numFmtId="0" fontId="12" fillId="0" borderId="1" xfId="0" applyFont="1" applyBorder="1"/>
    <xf numFmtId="0" fontId="13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11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/>
    <xf numFmtId="0" fontId="26" fillId="0" borderId="14" xfId="0" applyFont="1" applyBorder="1"/>
    <xf numFmtId="0" fontId="32" fillId="0" borderId="0" xfId="0" applyFont="1" applyAlignment="1">
      <alignment horizontal="center"/>
    </xf>
    <xf numFmtId="17" fontId="24" fillId="0" borderId="0" xfId="0" applyNumberFormat="1" applyFont="1"/>
    <xf numFmtId="15" fontId="1" fillId="0" borderId="1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11" xfId="0" applyFont="1" applyBorder="1" applyAlignment="1">
      <alignment horizontal="center"/>
    </xf>
    <xf numFmtId="4" fontId="1" fillId="0" borderId="11" xfId="0" applyNumberFormat="1" applyFont="1" applyBorder="1"/>
    <xf numFmtId="0" fontId="1" fillId="0" borderId="8" xfId="0" applyFont="1" applyBorder="1"/>
    <xf numFmtId="0" fontId="1" fillId="0" borderId="3" xfId="0" applyFont="1" applyBorder="1"/>
    <xf numFmtId="15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" fontId="18" fillId="0" borderId="1" xfId="0" applyNumberFormat="1" applyFont="1" applyBorder="1"/>
    <xf numFmtId="164" fontId="0" fillId="0" borderId="0" xfId="0" applyNumberFormat="1"/>
    <xf numFmtId="165" fontId="26" fillId="0" borderId="0" xfId="0" applyNumberFormat="1" applyFont="1"/>
    <xf numFmtId="0" fontId="19" fillId="0" borderId="6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34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15" fontId="16" fillId="0" borderId="12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1" xfId="0" applyBorder="1"/>
    <xf numFmtId="15" fontId="16" fillId="0" borderId="10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0" borderId="28" xfId="0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5" fontId="0" fillId="0" borderId="11" xfId="0" applyNumberFormat="1" applyBorder="1"/>
    <xf numFmtId="164" fontId="13" fillId="0" borderId="11" xfId="0" applyNumberFormat="1" applyFont="1" applyBorder="1"/>
    <xf numFmtId="0" fontId="40" fillId="0" borderId="28" xfId="0" applyFont="1" applyBorder="1" applyAlignment="1">
      <alignment horizontal="center"/>
    </xf>
    <xf numFmtId="0" fontId="41" fillId="0" borderId="28" xfId="0" applyFont="1" applyBorder="1" applyAlignment="1">
      <alignment horizontal="center"/>
    </xf>
    <xf numFmtId="0" fontId="40" fillId="0" borderId="28" xfId="0" applyFont="1" applyBorder="1"/>
    <xf numFmtId="0" fontId="40" fillId="0" borderId="32" xfId="0" applyFont="1" applyBorder="1"/>
    <xf numFmtId="0" fontId="40" fillId="0" borderId="27" xfId="0" applyFont="1" applyBorder="1"/>
    <xf numFmtId="0" fontId="40" fillId="0" borderId="33" xfId="0" applyFont="1" applyBorder="1"/>
    <xf numFmtId="0" fontId="41" fillId="0" borderId="27" xfId="0" applyFont="1" applyBorder="1"/>
    <xf numFmtId="0" fontId="41" fillId="0" borderId="27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/>
    <xf numFmtId="0" fontId="41" fillId="0" borderId="0" xfId="0" applyFont="1" applyAlignment="1">
      <alignment horizontal="center"/>
    </xf>
    <xf numFmtId="0" fontId="40" fillId="0" borderId="11" xfId="0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40" fillId="0" borderId="11" xfId="0" applyFont="1" applyBorder="1"/>
    <xf numFmtId="0" fontId="26" fillId="0" borderId="34" xfId="0" applyFont="1" applyBorder="1"/>
    <xf numFmtId="0" fontId="42" fillId="0" borderId="0" xfId="0" applyFont="1"/>
    <xf numFmtId="0" fontId="3" fillId="0" borderId="11" xfId="0" applyFont="1" applyBorder="1"/>
    <xf numFmtId="164" fontId="10" fillId="0" borderId="11" xfId="0" applyNumberFormat="1" applyFont="1" applyBorder="1"/>
    <xf numFmtId="164" fontId="35" fillId="0" borderId="11" xfId="0" applyNumberFormat="1" applyFont="1" applyBorder="1"/>
    <xf numFmtId="0" fontId="20" fillId="0" borderId="1" xfId="0" applyFont="1" applyBorder="1" applyAlignment="1">
      <alignment horizontal="center"/>
    </xf>
    <xf numFmtId="165" fontId="38" fillId="0" borderId="0" xfId="0" applyNumberFormat="1" applyFont="1"/>
    <xf numFmtId="165" fontId="38" fillId="0" borderId="16" xfId="0" applyNumberFormat="1" applyFont="1" applyBorder="1"/>
    <xf numFmtId="0" fontId="44" fillId="0" borderId="0" xfId="0" applyFont="1"/>
    <xf numFmtId="17" fontId="45" fillId="0" borderId="0" xfId="0" applyNumberFormat="1" applyFont="1" applyAlignment="1">
      <alignment horizontal="center"/>
    </xf>
    <xf numFmtId="0" fontId="41" fillId="0" borderId="10" xfId="0" applyFont="1" applyBorder="1" applyAlignment="1">
      <alignment horizontal="center"/>
    </xf>
    <xf numFmtId="17" fontId="46" fillId="0" borderId="0" xfId="0" applyNumberFormat="1" applyFont="1"/>
    <xf numFmtId="165" fontId="17" fillId="0" borderId="11" xfId="0" applyNumberFormat="1" applyFont="1" applyBorder="1"/>
    <xf numFmtId="4" fontId="40" fillId="0" borderId="1" xfId="0" applyNumberFormat="1" applyFont="1" applyBorder="1"/>
    <xf numFmtId="4" fontId="40" fillId="0" borderId="10" xfId="0" applyNumberFormat="1" applyFont="1" applyBorder="1"/>
    <xf numFmtId="0" fontId="47" fillId="0" borderId="0" xfId="0" applyFont="1"/>
    <xf numFmtId="17" fontId="45" fillId="3" borderId="0" xfId="0" applyNumberFormat="1" applyFont="1" applyFill="1" applyAlignment="1">
      <alignment horizontal="center"/>
    </xf>
    <xf numFmtId="4" fontId="6" fillId="0" borderId="27" xfId="0" applyNumberFormat="1" applyFont="1" applyBorder="1"/>
    <xf numFmtId="0" fontId="44" fillId="4" borderId="0" xfId="0" applyFont="1" applyFill="1"/>
    <xf numFmtId="0" fontId="0" fillId="4" borderId="0" xfId="0" applyFill="1"/>
    <xf numFmtId="49" fontId="0" fillId="0" borderId="42" xfId="0" applyNumberFormat="1" applyBorder="1" applyAlignment="1">
      <alignment horizontal="center"/>
    </xf>
    <xf numFmtId="49" fontId="0" fillId="5" borderId="42" xfId="0" applyNumberFormat="1" applyFill="1" applyBorder="1"/>
    <xf numFmtId="49" fontId="0" fillId="0" borderId="42" xfId="0" applyNumberFormat="1" applyBorder="1"/>
    <xf numFmtId="2" fontId="0" fillId="5" borderId="42" xfId="0" quotePrefix="1" applyNumberFormat="1" applyFill="1" applyBorder="1"/>
    <xf numFmtId="2" fontId="48" fillId="5" borderId="42" xfId="0" quotePrefix="1" applyNumberFormat="1" applyFont="1" applyFill="1" applyBorder="1"/>
    <xf numFmtId="49" fontId="1" fillId="5" borderId="41" xfId="0" applyNumberFormat="1" applyFont="1" applyFill="1" applyBorder="1" applyAlignment="1">
      <alignment horizontal="right"/>
    </xf>
    <xf numFmtId="49" fontId="1" fillId="5" borderId="42" xfId="0" applyNumberFormat="1" applyFont="1" applyFill="1" applyBorder="1"/>
    <xf numFmtId="49" fontId="1" fillId="0" borderId="42" xfId="0" applyNumberFormat="1" applyFont="1" applyBorder="1"/>
    <xf numFmtId="49" fontId="0" fillId="5" borderId="42" xfId="0" applyNumberFormat="1" applyFill="1" applyBorder="1" applyAlignment="1">
      <alignment horizontal="center"/>
    </xf>
    <xf numFmtId="164" fontId="3" fillId="6" borderId="0" xfId="0" applyNumberFormat="1" applyFont="1" applyFill="1"/>
    <xf numFmtId="49" fontId="1" fillId="5" borderId="42" xfId="0" quotePrefix="1" applyNumberFormat="1" applyFont="1" applyFill="1" applyBorder="1" applyAlignment="1">
      <alignment horizontal="right"/>
    </xf>
    <xf numFmtId="49" fontId="1" fillId="5" borderId="42" xfId="0" applyNumberFormat="1" applyFont="1" applyFill="1" applyBorder="1" applyAlignment="1">
      <alignment horizontal="center"/>
    </xf>
    <xf numFmtId="14" fontId="0" fillId="0" borderId="0" xfId="0" applyNumberFormat="1"/>
    <xf numFmtId="14" fontId="48" fillId="0" borderId="0" xfId="0" applyNumberFormat="1" applyFont="1"/>
    <xf numFmtId="0" fontId="48" fillId="0" borderId="0" xfId="0" applyFont="1"/>
    <xf numFmtId="14" fontId="0" fillId="6" borderId="0" xfId="0" applyNumberFormat="1" applyFill="1"/>
    <xf numFmtId="0" fontId="0" fillId="6" borderId="0" xfId="0" applyFill="1"/>
    <xf numFmtId="14" fontId="0" fillId="2" borderId="0" xfId="0" applyNumberFormat="1" applyFill="1"/>
    <xf numFmtId="0" fontId="0" fillId="2" borderId="0" xfId="0" applyFill="1"/>
    <xf numFmtId="14" fontId="0" fillId="7" borderId="0" xfId="0" applyNumberFormat="1" applyFill="1"/>
    <xf numFmtId="0" fontId="0" fillId="7" borderId="0" xfId="0" applyFill="1"/>
    <xf numFmtId="0" fontId="0" fillId="8" borderId="0" xfId="0" applyFill="1"/>
    <xf numFmtId="4" fontId="3" fillId="0" borderId="0" xfId="0" applyNumberFormat="1" applyFont="1"/>
    <xf numFmtId="4" fontId="50" fillId="0" borderId="0" xfId="0" applyNumberFormat="1" applyFont="1"/>
    <xf numFmtId="4" fontId="3" fillId="6" borderId="0" xfId="0" applyNumberFormat="1" applyFont="1" applyFill="1"/>
    <xf numFmtId="14" fontId="0" fillId="9" borderId="0" xfId="0" applyNumberFormat="1" applyFill="1"/>
    <xf numFmtId="0" fontId="0" fillId="9" borderId="0" xfId="0" applyFill="1"/>
    <xf numFmtId="4" fontId="3" fillId="9" borderId="0" xfId="0" applyNumberFormat="1" applyFont="1" applyFill="1"/>
    <xf numFmtId="14" fontId="0" fillId="10" borderId="0" xfId="0" applyNumberFormat="1" applyFill="1"/>
    <xf numFmtId="0" fontId="0" fillId="10" borderId="0" xfId="0" applyFill="1"/>
    <xf numFmtId="4" fontId="3" fillId="10" borderId="0" xfId="0" applyNumberFormat="1" applyFont="1" applyFill="1"/>
    <xf numFmtId="4" fontId="3" fillId="8" borderId="0" xfId="0" applyNumberFormat="1" applyFont="1" applyFill="1"/>
    <xf numFmtId="14" fontId="1" fillId="0" borderId="43" xfId="0" applyNumberFormat="1" applyFont="1" applyBorder="1" applyAlignment="1">
      <alignment horizontal="right"/>
    </xf>
    <xf numFmtId="0" fontId="0" fillId="0" borderId="1" xfId="0" applyBorder="1" applyAlignment="1">
      <alignment horizontal="center"/>
    </xf>
    <xf numFmtId="17" fontId="51" fillId="0" borderId="0" xfId="0" applyNumberFormat="1" applyFont="1"/>
    <xf numFmtId="0" fontId="52" fillId="0" borderId="0" xfId="0" applyFont="1" applyAlignment="1">
      <alignment horizontal="center"/>
    </xf>
    <xf numFmtId="49" fontId="1" fillId="5" borderId="0" xfId="0" quotePrefix="1" applyNumberFormat="1" applyFont="1" applyFill="1" applyAlignment="1">
      <alignment horizontal="right"/>
    </xf>
    <xf numFmtId="2" fontId="0" fillId="5" borderId="0" xfId="0" quotePrefix="1" applyNumberFormat="1" applyFill="1"/>
    <xf numFmtId="49" fontId="1" fillId="5" borderId="0" xfId="0" applyNumberFormat="1" applyFont="1" applyFill="1" applyAlignment="1">
      <alignment horizontal="center"/>
    </xf>
    <xf numFmtId="164" fontId="3" fillId="0" borderId="0" xfId="0" applyNumberFormat="1" applyFont="1"/>
    <xf numFmtId="0" fontId="39" fillId="0" borderId="1" xfId="0" applyFont="1" applyBorder="1" applyAlignment="1">
      <alignment horizontal="center"/>
    </xf>
    <xf numFmtId="49" fontId="48" fillId="5" borderId="42" xfId="0" applyNumberFormat="1" applyFont="1" applyFill="1" applyBorder="1"/>
    <xf numFmtId="0" fontId="49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41" fillId="0" borderId="12" xfId="0" applyFont="1" applyBorder="1" applyAlignment="1">
      <alignment horizontal="center"/>
    </xf>
    <xf numFmtId="0" fontId="40" fillId="0" borderId="12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1" fillId="0" borderId="31" xfId="0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40" fillId="0" borderId="31" xfId="0" applyFont="1" applyBorder="1" applyAlignment="1">
      <alignment horizontal="center"/>
    </xf>
    <xf numFmtId="49" fontId="48" fillId="0" borderId="0" xfId="0" applyNumberFormat="1" applyFont="1"/>
    <xf numFmtId="14" fontId="1" fillId="5" borderId="41" xfId="0" applyNumberFormat="1" applyFont="1" applyFill="1" applyBorder="1" applyAlignment="1">
      <alignment horizontal="right"/>
    </xf>
    <xf numFmtId="14" fontId="48" fillId="8" borderId="0" xfId="0" applyNumberFormat="1" applyFont="1" applyFill="1"/>
    <xf numFmtId="4" fontId="3" fillId="2" borderId="0" xfId="0" applyNumberFormat="1" applyFont="1" applyFill="1"/>
    <xf numFmtId="14" fontId="0" fillId="0" borderId="28" xfId="0" applyNumberFormat="1" applyBorder="1"/>
    <xf numFmtId="14" fontId="0" fillId="0" borderId="1" xfId="0" applyNumberFormat="1" applyBorder="1"/>
    <xf numFmtId="0" fontId="48" fillId="0" borderId="1" xfId="0" applyFont="1" applyBorder="1" applyAlignment="1">
      <alignment horizontal="center"/>
    </xf>
    <xf numFmtId="4" fontId="3" fillId="7" borderId="0" xfId="0" applyNumberFormat="1" applyFont="1" applyFill="1"/>
    <xf numFmtId="14" fontId="1" fillId="0" borderId="1" xfId="0" applyNumberFormat="1" applyFont="1" applyBorder="1" applyAlignment="1">
      <alignment horizontal="right"/>
    </xf>
    <xf numFmtId="49" fontId="0" fillId="5" borderId="0" xfId="0" applyNumberFormat="1" applyFill="1"/>
    <xf numFmtId="2" fontId="21" fillId="5" borderId="42" xfId="0" quotePrefix="1" applyNumberFormat="1" applyFont="1" applyFill="1" applyBorder="1"/>
    <xf numFmtId="2" fontId="54" fillId="5" borderId="42" xfId="0" quotePrefix="1" applyNumberFormat="1" applyFont="1" applyFill="1" applyBorder="1"/>
    <xf numFmtId="2" fontId="21" fillId="5" borderId="0" xfId="0" quotePrefix="1" applyNumberFormat="1" applyFont="1" applyFill="1"/>
    <xf numFmtId="164" fontId="55" fillId="0" borderId="11" xfId="0" applyNumberFormat="1" applyFont="1" applyBorder="1"/>
    <xf numFmtId="49" fontId="1" fillId="0" borderId="42" xfId="0" applyNumberFormat="1" applyFont="1" applyBorder="1" applyAlignment="1">
      <alignment horizontal="center"/>
    </xf>
    <xf numFmtId="14" fontId="1" fillId="5" borderId="42" xfId="0" applyNumberFormat="1" applyFont="1" applyFill="1" applyBorder="1" applyAlignment="1">
      <alignment horizontal="right"/>
    </xf>
    <xf numFmtId="14" fontId="0" fillId="11" borderId="0" xfId="0" applyNumberFormat="1" applyFill="1"/>
    <xf numFmtId="4" fontId="3" fillId="11" borderId="0" xfId="0" applyNumberFormat="1" applyFont="1" applyFill="1"/>
    <xf numFmtId="14" fontId="0" fillId="12" borderId="0" xfId="0" applyNumberFormat="1" applyFill="1"/>
    <xf numFmtId="0" fontId="0" fillId="12" borderId="0" xfId="0" applyFill="1"/>
    <xf numFmtId="4" fontId="3" fillId="12" borderId="0" xfId="0" applyNumberFormat="1" applyFont="1" applyFill="1"/>
    <xf numFmtId="17" fontId="51" fillId="9" borderId="0" xfId="0" applyNumberFormat="1" applyFont="1" applyFill="1"/>
    <xf numFmtId="2" fontId="54" fillId="5" borderId="0" xfId="0" quotePrefix="1" applyNumberFormat="1" applyFont="1" applyFill="1"/>
    <xf numFmtId="4" fontId="49" fillId="0" borderId="1" xfId="0" applyNumberFormat="1" applyFont="1" applyBorder="1"/>
    <xf numFmtId="4" fontId="50" fillId="10" borderId="0" xfId="0" applyNumberFormat="1" applyFont="1" applyFill="1"/>
    <xf numFmtId="4" fontId="49" fillId="0" borderId="10" xfId="0" applyNumberFormat="1" applyFont="1" applyBorder="1"/>
    <xf numFmtId="0" fontId="53" fillId="0" borderId="10" xfId="0" applyFont="1" applyBorder="1" applyAlignment="1">
      <alignment horizontal="center"/>
    </xf>
    <xf numFmtId="14" fontId="0" fillId="13" borderId="0" xfId="0" applyNumberFormat="1" applyFill="1"/>
    <xf numFmtId="0" fontId="0" fillId="13" borderId="0" xfId="0" applyFill="1"/>
    <xf numFmtId="4" fontId="3" fillId="13" borderId="0" xfId="0" applyNumberFormat="1" applyFont="1" applyFill="1"/>
    <xf numFmtId="4" fontId="18" fillId="6" borderId="0" xfId="0" applyNumberFormat="1" applyFont="1" applyFill="1"/>
    <xf numFmtId="14" fontId="48" fillId="6" borderId="0" xfId="0" applyNumberFormat="1" applyFont="1" applyFill="1"/>
    <xf numFmtId="14" fontId="48" fillId="14" borderId="0" xfId="0" applyNumberFormat="1" applyFont="1" applyFill="1"/>
    <xf numFmtId="0" fontId="0" fillId="14" borderId="0" xfId="0" applyFill="1"/>
    <xf numFmtId="4" fontId="3" fillId="14" borderId="0" xfId="0" applyNumberFormat="1" applyFont="1" applyFill="1"/>
    <xf numFmtId="14" fontId="48" fillId="15" borderId="0" xfId="0" applyNumberFormat="1" applyFont="1" applyFill="1"/>
    <xf numFmtId="0" fontId="0" fillId="15" borderId="0" xfId="0" applyFill="1"/>
    <xf numFmtId="4" fontId="3" fillId="15" borderId="0" xfId="0" applyNumberFormat="1" applyFont="1" applyFill="1"/>
    <xf numFmtId="49" fontId="18" fillId="5" borderId="42" xfId="0" quotePrefix="1" applyNumberFormat="1" applyFont="1" applyFill="1" applyBorder="1" applyAlignment="1">
      <alignment horizontal="right"/>
    </xf>
    <xf numFmtId="17" fontId="56" fillId="0" borderId="0" xfId="0" applyNumberFormat="1" applyFont="1"/>
    <xf numFmtId="14" fontId="57" fillId="0" borderId="0" xfId="0" applyNumberFormat="1" applyFont="1"/>
    <xf numFmtId="0" fontId="57" fillId="0" borderId="0" xfId="0" applyFont="1"/>
    <xf numFmtId="4" fontId="58" fillId="0" borderId="0" xfId="0" applyNumberFormat="1" applyFont="1"/>
    <xf numFmtId="14" fontId="0" fillId="16" borderId="0" xfId="0" applyNumberFormat="1" applyFill="1"/>
    <xf numFmtId="0" fontId="0" fillId="16" borderId="0" xfId="0" applyFill="1"/>
    <xf numFmtId="4" fontId="3" fillId="16" borderId="0" xfId="0" applyNumberFormat="1" applyFont="1" applyFill="1"/>
    <xf numFmtId="0" fontId="0" fillId="11" borderId="0" xfId="0" applyFill="1"/>
    <xf numFmtId="14" fontId="0" fillId="17" borderId="0" xfId="0" applyNumberFormat="1" applyFill="1"/>
    <xf numFmtId="0" fontId="0" fillId="17" borderId="0" xfId="0" applyFill="1"/>
    <xf numFmtId="4" fontId="3" fillId="17" borderId="0" xfId="0" applyNumberFormat="1" applyFont="1" applyFill="1"/>
    <xf numFmtId="14" fontId="0" fillId="18" borderId="0" xfId="0" applyNumberFormat="1" applyFill="1"/>
    <xf numFmtId="0" fontId="0" fillId="18" borderId="0" xfId="0" applyFill="1"/>
    <xf numFmtId="4" fontId="3" fillId="18" borderId="0" xfId="0" applyNumberFormat="1" applyFont="1" applyFill="1"/>
    <xf numFmtId="14" fontId="0" fillId="19" borderId="0" xfId="0" applyNumberFormat="1" applyFill="1"/>
    <xf numFmtId="0" fontId="0" fillId="19" borderId="0" xfId="0" applyFill="1"/>
    <xf numFmtId="4" fontId="3" fillId="19" borderId="0" xfId="0" applyNumberFormat="1" applyFont="1" applyFill="1"/>
    <xf numFmtId="14" fontId="0" fillId="20" borderId="0" xfId="0" applyNumberFormat="1" applyFill="1"/>
    <xf numFmtId="0" fontId="0" fillId="20" borderId="0" xfId="0" applyFill="1"/>
    <xf numFmtId="4" fontId="3" fillId="20" borderId="0" xfId="0" applyNumberFormat="1" applyFont="1" applyFill="1"/>
    <xf numFmtId="14" fontId="0" fillId="21" borderId="0" xfId="0" applyNumberFormat="1" applyFill="1"/>
    <xf numFmtId="0" fontId="0" fillId="21" borderId="0" xfId="0" applyFill="1"/>
    <xf numFmtId="4" fontId="3" fillId="21" borderId="0" xfId="0" applyNumberFormat="1" applyFont="1" applyFill="1"/>
    <xf numFmtId="14" fontId="0" fillId="22" borderId="0" xfId="0" applyNumberFormat="1" applyFill="1"/>
    <xf numFmtId="0" fontId="0" fillId="22" borderId="0" xfId="0" applyFill="1"/>
    <xf numFmtId="4" fontId="3" fillId="22" borderId="0" xfId="0" applyNumberFormat="1" applyFont="1" applyFill="1"/>
    <xf numFmtId="14" fontId="48" fillId="5" borderId="41" xfId="0" applyNumberFormat="1" applyFont="1" applyFill="1" applyBorder="1" applyAlignment="1">
      <alignment horizontal="right"/>
    </xf>
    <xf numFmtId="49" fontId="48" fillId="5" borderId="42" xfId="0" quotePrefix="1" applyNumberFormat="1" applyFont="1" applyFill="1" applyBorder="1" applyAlignment="1">
      <alignment horizontal="right"/>
    </xf>
    <xf numFmtId="49" fontId="48" fillId="5" borderId="42" xfId="0" applyNumberFormat="1" applyFont="1" applyFill="1" applyBorder="1" applyAlignment="1">
      <alignment horizontal="center"/>
    </xf>
    <xf numFmtId="49" fontId="48" fillId="5" borderId="0" xfId="0" quotePrefix="1" applyNumberFormat="1" applyFont="1" applyFill="1" applyAlignment="1">
      <alignment horizontal="right"/>
    </xf>
    <xf numFmtId="49" fontId="48" fillId="5" borderId="0" xfId="0" applyNumberFormat="1" applyFont="1" applyFill="1" applyAlignment="1">
      <alignment horizontal="center"/>
    </xf>
    <xf numFmtId="4" fontId="50" fillId="9" borderId="0" xfId="0" applyNumberFormat="1" applyFont="1" applyFill="1"/>
    <xf numFmtId="0" fontId="48" fillId="2" borderId="0" xfId="0" applyFont="1" applyFill="1"/>
    <xf numFmtId="4" fontId="50" fillId="2" borderId="0" xfId="0" applyNumberFormat="1" applyFont="1" applyFill="1"/>
    <xf numFmtId="14" fontId="48" fillId="21" borderId="0" xfId="0" applyNumberFormat="1" applyFont="1" applyFill="1"/>
    <xf numFmtId="0" fontId="48" fillId="21" borderId="0" xfId="0" applyFont="1" applyFill="1"/>
    <xf numFmtId="4" fontId="50" fillId="21" borderId="0" xfId="0" applyNumberFormat="1" applyFont="1" applyFill="1"/>
    <xf numFmtId="14" fontId="59" fillId="0" borderId="1" xfId="0" applyNumberFormat="1" applyFont="1" applyBorder="1"/>
    <xf numFmtId="0" fontId="59" fillId="0" borderId="1" xfId="0" applyFont="1" applyBorder="1" applyAlignment="1">
      <alignment horizontal="center"/>
    </xf>
    <xf numFmtId="4" fontId="60" fillId="0" borderId="1" xfId="0" applyNumberFormat="1" applyFont="1" applyBorder="1"/>
    <xf numFmtId="4" fontId="1" fillId="0" borderId="0" xfId="0" applyNumberFormat="1" applyFont="1"/>
    <xf numFmtId="14" fontId="1" fillId="5" borderId="0" xfId="0" applyNumberFormat="1" applyFont="1" applyFill="1" applyAlignment="1">
      <alignment horizontal="right"/>
    </xf>
    <xf numFmtId="49" fontId="1" fillId="5" borderId="0" xfId="0" applyNumberFormat="1" applyFont="1" applyFill="1"/>
    <xf numFmtId="14" fontId="61" fillId="5" borderId="41" xfId="0" applyNumberFormat="1" applyFont="1" applyFill="1" applyBorder="1" applyAlignment="1">
      <alignment horizontal="right"/>
    </xf>
    <xf numFmtId="49" fontId="61" fillId="5" borderId="0" xfId="0" quotePrefix="1" applyNumberFormat="1" applyFont="1" applyFill="1" applyAlignment="1">
      <alignment horizontal="right"/>
    </xf>
    <xf numFmtId="49" fontId="61" fillId="5" borderId="42" xfId="0" applyNumberFormat="1" applyFont="1" applyFill="1" applyBorder="1" applyAlignment="1">
      <alignment horizontal="center"/>
    </xf>
    <xf numFmtId="0" fontId="62" fillId="0" borderId="1" xfId="0" applyFont="1" applyBorder="1" applyAlignment="1">
      <alignment horizontal="center"/>
    </xf>
    <xf numFmtId="49" fontId="61" fillId="5" borderId="42" xfId="0" applyNumberFormat="1" applyFont="1" applyFill="1" applyBorder="1"/>
    <xf numFmtId="0" fontId="63" fillId="0" borderId="1" xfId="0" applyFont="1" applyBorder="1" applyAlignment="1">
      <alignment horizontal="center"/>
    </xf>
    <xf numFmtId="2" fontId="64" fillId="5" borderId="42" xfId="0" quotePrefix="1" applyNumberFormat="1" applyFont="1" applyFill="1" applyBorder="1"/>
    <xf numFmtId="4" fontId="62" fillId="0" borderId="1" xfId="0" applyNumberFormat="1" applyFont="1" applyBorder="1"/>
    <xf numFmtId="2" fontId="64" fillId="5" borderId="0" xfId="0" quotePrefix="1" applyNumberFormat="1" applyFont="1" applyFill="1"/>
    <xf numFmtId="4" fontId="62" fillId="0" borderId="10" xfId="0" applyNumberFormat="1" applyFont="1" applyBorder="1"/>
    <xf numFmtId="0" fontId="6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15" fontId="0" fillId="0" borderId="0" xfId="0" applyNumberFormat="1"/>
    <xf numFmtId="0" fontId="0" fillId="0" borderId="0" xfId="0" applyAlignment="1">
      <alignment horizontal="center"/>
    </xf>
    <xf numFmtId="164" fontId="13" fillId="0" borderId="0" xfId="0" applyNumberFormat="1" applyFont="1"/>
    <xf numFmtId="164" fontId="55" fillId="0" borderId="0" xfId="0" applyNumberFormat="1" applyFont="1"/>
    <xf numFmtId="0" fontId="1" fillId="0" borderId="0" xfId="0" applyFont="1"/>
    <xf numFmtId="4" fontId="3" fillId="23" borderId="0" xfId="0" applyNumberFormat="1" applyFont="1" applyFill="1"/>
    <xf numFmtId="4" fontId="65" fillId="7" borderId="0" xfId="0" applyNumberFormat="1" applyFont="1" applyFill="1"/>
    <xf numFmtId="14" fontId="48" fillId="7" borderId="0" xfId="0" applyNumberFormat="1" applyFont="1" applyFill="1"/>
    <xf numFmtId="14" fontId="48" fillId="9" borderId="0" xfId="0" applyNumberFormat="1" applyFont="1" applyFill="1"/>
    <xf numFmtId="14" fontId="48" fillId="12" borderId="0" xfId="0" applyNumberFormat="1" applyFont="1" applyFill="1"/>
    <xf numFmtId="14" fontId="48" fillId="11" borderId="0" xfId="0" applyNumberFormat="1" applyFont="1" applyFill="1"/>
    <xf numFmtId="14" fontId="48" fillId="24" borderId="0" xfId="0" applyNumberFormat="1" applyFont="1" applyFill="1"/>
    <xf numFmtId="0" fontId="0" fillId="24" borderId="0" xfId="0" applyFill="1"/>
    <xf numFmtId="4" fontId="3" fillId="24" borderId="0" xfId="0" applyNumberFormat="1" applyFont="1" applyFill="1"/>
    <xf numFmtId="0" fontId="66" fillId="0" borderId="1" xfId="0" applyFont="1" applyBorder="1" applyAlignment="1">
      <alignment horizontal="center"/>
    </xf>
    <xf numFmtId="14" fontId="48" fillId="0" borderId="28" xfId="0" applyNumberFormat="1" applyFont="1" applyBorder="1"/>
    <xf numFmtId="4" fontId="67" fillId="0" borderId="1" xfId="0" applyNumberFormat="1" applyFont="1" applyBorder="1"/>
    <xf numFmtId="14" fontId="48" fillId="0" borderId="1" xfId="0" applyNumberFormat="1" applyFont="1" applyBorder="1"/>
    <xf numFmtId="2" fontId="0" fillId="0" borderId="0" xfId="0" applyNumberFormat="1"/>
    <xf numFmtId="4" fontId="50" fillId="23" borderId="0" xfId="0" applyNumberFormat="1" applyFont="1" applyFill="1"/>
    <xf numFmtId="14" fontId="0" fillId="14" borderId="0" xfId="0" applyNumberFormat="1" applyFill="1"/>
    <xf numFmtId="4" fontId="50" fillId="14" borderId="0" xfId="0" applyNumberFormat="1" applyFont="1" applyFill="1"/>
    <xf numFmtId="0" fontId="48" fillId="9" borderId="0" xfId="0" applyFont="1" applyFill="1"/>
    <xf numFmtId="14" fontId="48" fillId="25" borderId="0" xfId="0" applyNumberFormat="1" applyFont="1" applyFill="1"/>
    <xf numFmtId="0" fontId="48" fillId="25" borderId="0" xfId="0" applyFont="1" applyFill="1"/>
    <xf numFmtId="4" fontId="50" fillId="25" borderId="0" xfId="0" applyNumberFormat="1" applyFont="1" applyFill="1"/>
    <xf numFmtId="14" fontId="48" fillId="26" borderId="0" xfId="0" applyNumberFormat="1" applyFont="1" applyFill="1"/>
    <xf numFmtId="0" fontId="48" fillId="26" borderId="0" xfId="0" applyFont="1" applyFill="1"/>
    <xf numFmtId="4" fontId="50" fillId="26" borderId="0" xfId="0" applyNumberFormat="1" applyFont="1" applyFill="1"/>
    <xf numFmtId="4" fontId="3" fillId="4" borderId="0" xfId="0" applyNumberFormat="1" applyFont="1" applyFill="1"/>
    <xf numFmtId="14" fontId="48" fillId="4" borderId="0" xfId="0" applyNumberFormat="1" applyFont="1" applyFill="1"/>
    <xf numFmtId="14" fontId="48" fillId="10" borderId="0" xfId="0" applyNumberFormat="1" applyFont="1" applyFill="1"/>
    <xf numFmtId="14" fontId="48" fillId="16" borderId="0" xfId="0" applyNumberFormat="1" applyFont="1" applyFill="1"/>
    <xf numFmtId="14" fontId="48" fillId="27" borderId="0" xfId="0" applyNumberFormat="1" applyFont="1" applyFill="1"/>
    <xf numFmtId="0" fontId="0" fillId="27" borderId="0" xfId="0" applyFill="1"/>
    <xf numFmtId="4" fontId="3" fillId="27" borderId="0" xfId="0" applyNumberFormat="1" applyFont="1" applyFill="1"/>
    <xf numFmtId="4" fontId="68" fillId="12" borderId="0" xfId="0" applyNumberFormat="1" applyFont="1" applyFill="1"/>
    <xf numFmtId="14" fontId="69" fillId="17" borderId="1" xfId="0" applyNumberFormat="1" applyFont="1" applyFill="1" applyBorder="1"/>
    <xf numFmtId="0" fontId="69" fillId="17" borderId="1" xfId="0" applyFont="1" applyFill="1" applyBorder="1" applyAlignment="1">
      <alignment horizontal="center"/>
    </xf>
    <xf numFmtId="4" fontId="70" fillId="17" borderId="1" xfId="0" applyNumberFormat="1" applyFont="1" applyFill="1" applyBorder="1"/>
    <xf numFmtId="49" fontId="0" fillId="0" borderId="0" xfId="0" applyNumberFormat="1"/>
    <xf numFmtId="14" fontId="59" fillId="2" borderId="1" xfId="0" applyNumberFormat="1" applyFont="1" applyFill="1" applyBorder="1"/>
    <xf numFmtId="4" fontId="11" fillId="2" borderId="1" xfId="0" applyNumberFormat="1" applyFont="1" applyFill="1" applyBorder="1"/>
    <xf numFmtId="0" fontId="66" fillId="2" borderId="1" xfId="0" applyFont="1" applyFill="1" applyBorder="1" applyAlignment="1">
      <alignment horizontal="center"/>
    </xf>
    <xf numFmtId="4" fontId="48" fillId="2" borderId="0" xfId="0" applyNumberFormat="1" applyFont="1" applyFill="1"/>
    <xf numFmtId="17" fontId="51" fillId="2" borderId="0" xfId="0" applyNumberFormat="1" applyFont="1" applyFill="1"/>
    <xf numFmtId="1" fontId="0" fillId="5" borderId="42" xfId="0" applyNumberFormat="1" applyFill="1" applyBorder="1" applyAlignment="1">
      <alignment horizontal="right"/>
    </xf>
    <xf numFmtId="1" fontId="0" fillId="0" borderId="42" xfId="0" applyNumberFormat="1" applyBorder="1" applyAlignment="1">
      <alignment horizontal="right"/>
    </xf>
    <xf numFmtId="1" fontId="0" fillId="28" borderId="42" xfId="0" applyNumberFormat="1" applyFill="1" applyBorder="1" applyAlignment="1">
      <alignment horizontal="right"/>
    </xf>
    <xf numFmtId="14" fontId="71" fillId="29" borderId="0" xfId="0" applyNumberFormat="1" applyFont="1" applyFill="1"/>
    <xf numFmtId="0" fontId="71" fillId="29" borderId="0" xfId="0" applyFont="1" applyFill="1"/>
    <xf numFmtId="4" fontId="72" fillId="29" borderId="0" xfId="0" applyNumberFormat="1" applyFont="1" applyFill="1"/>
    <xf numFmtId="4" fontId="6" fillId="0" borderId="0" xfId="0" applyNumberFormat="1" applyFont="1"/>
    <xf numFmtId="14" fontId="0" fillId="4" borderId="0" xfId="0" applyNumberFormat="1" applyFill="1"/>
    <xf numFmtId="14" fontId="0" fillId="26" borderId="0" xfId="0" applyNumberFormat="1" applyFill="1"/>
    <xf numFmtId="0" fontId="0" fillId="26" borderId="0" xfId="0" applyFill="1"/>
    <xf numFmtId="4" fontId="3" fillId="26" borderId="0" xfId="0" applyNumberFormat="1" applyFont="1" applyFill="1"/>
    <xf numFmtId="0" fontId="48" fillId="7" borderId="0" xfId="0" applyFont="1" applyFill="1"/>
    <xf numFmtId="4" fontId="50" fillId="7" borderId="0" xfId="0" applyNumberFormat="1" applyFont="1" applyFill="1"/>
    <xf numFmtId="14" fontId="1" fillId="23" borderId="1" xfId="0" applyNumberFormat="1" applyFont="1" applyFill="1" applyBorder="1"/>
    <xf numFmtId="4" fontId="11" fillId="23" borderId="1" xfId="0" applyNumberFormat="1" applyFont="1" applyFill="1" applyBorder="1"/>
    <xf numFmtId="0" fontId="66" fillId="23" borderId="1" xfId="0" applyFont="1" applyFill="1" applyBorder="1" applyAlignment="1">
      <alignment horizontal="center"/>
    </xf>
    <xf numFmtId="1" fontId="1" fillId="23" borderId="42" xfId="0" applyNumberFormat="1" applyFont="1" applyFill="1" applyBorder="1" applyAlignment="1">
      <alignment horizontal="right"/>
    </xf>
    <xf numFmtId="14" fontId="1" fillId="0" borderId="41" xfId="0" applyNumberFormat="1" applyFont="1" applyBorder="1" applyAlignment="1">
      <alignment horizontal="right"/>
    </xf>
    <xf numFmtId="49" fontId="1" fillId="0" borderId="0" xfId="0" quotePrefix="1" applyNumberFormat="1" applyFont="1" applyAlignment="1">
      <alignment horizontal="right"/>
    </xf>
    <xf numFmtId="2" fontId="21" fillId="0" borderId="42" xfId="0" quotePrefix="1" applyNumberFormat="1" applyFont="1" applyBorder="1"/>
    <xf numFmtId="2" fontId="21" fillId="0" borderId="0" xfId="0" quotePrefix="1" applyNumberFormat="1" applyFont="1"/>
    <xf numFmtId="49" fontId="48" fillId="0" borderId="42" xfId="0" applyNumberFormat="1" applyFont="1" applyBorder="1" applyAlignment="1">
      <alignment horizontal="center"/>
    </xf>
    <xf numFmtId="49" fontId="48" fillId="0" borderId="42" xfId="0" applyNumberFormat="1" applyFont="1" applyBorder="1"/>
    <xf numFmtId="2" fontId="54" fillId="0" borderId="42" xfId="0" quotePrefix="1" applyNumberFormat="1" applyFont="1" applyBorder="1"/>
    <xf numFmtId="2" fontId="54" fillId="0" borderId="0" xfId="0" quotePrefix="1" applyNumberFormat="1" applyFont="1"/>
    <xf numFmtId="49" fontId="48" fillId="0" borderId="0" xfId="0" applyNumberFormat="1" applyFont="1" applyAlignment="1">
      <alignment horizontal="center"/>
    </xf>
    <xf numFmtId="49" fontId="1" fillId="0" borderId="42" xfId="0" quotePrefix="1" applyNumberFormat="1" applyFont="1" applyBorder="1" applyAlignment="1">
      <alignment horizontal="right"/>
    </xf>
    <xf numFmtId="2" fontId="0" fillId="0" borderId="0" xfId="0" quotePrefix="1" applyNumberFormat="1"/>
    <xf numFmtId="166" fontId="1" fillId="5" borderId="41" xfId="0" applyNumberFormat="1" applyFont="1" applyFill="1" applyBorder="1" applyAlignment="1">
      <alignment horizontal="right"/>
    </xf>
    <xf numFmtId="49" fontId="18" fillId="5" borderId="0" xfId="0" quotePrefix="1" applyNumberFormat="1" applyFont="1" applyFill="1" applyAlignment="1">
      <alignment horizontal="right"/>
    </xf>
    <xf numFmtId="0" fontId="6" fillId="0" borderId="1" xfId="0" applyFont="1" applyBorder="1" applyAlignment="1">
      <alignment horizontal="center"/>
    </xf>
    <xf numFmtId="166" fontId="0" fillId="0" borderId="0" xfId="0" applyNumberFormat="1"/>
    <xf numFmtId="0" fontId="48" fillId="0" borderId="0" xfId="0" applyFont="1" applyAlignment="1">
      <alignment horizontal="right"/>
    </xf>
    <xf numFmtId="166" fontId="48" fillId="0" borderId="0" xfId="0" applyNumberFormat="1" applyFont="1"/>
    <xf numFmtId="166" fontId="0" fillId="4" borderId="0" xfId="0" applyNumberFormat="1" applyFill="1"/>
    <xf numFmtId="166" fontId="0" fillId="14" borderId="0" xfId="0" applyNumberFormat="1" applyFill="1"/>
    <xf numFmtId="166" fontId="0" fillId="9" borderId="0" xfId="0" applyNumberFormat="1" applyFill="1"/>
    <xf numFmtId="166" fontId="0" fillId="15" borderId="0" xfId="0" applyNumberFormat="1" applyFill="1"/>
    <xf numFmtId="166" fontId="0" fillId="10" borderId="0" xfId="0" applyNumberFormat="1" applyFill="1"/>
    <xf numFmtId="166" fontId="0" fillId="0" borderId="1" xfId="0" applyNumberFormat="1" applyBorder="1"/>
    <xf numFmtId="166" fontId="0" fillId="26" borderId="1" xfId="0" applyNumberFormat="1" applyFill="1" applyBorder="1"/>
    <xf numFmtId="1" fontId="0" fillId="26" borderId="42" xfId="0" applyNumberFormat="1" applyFill="1" applyBorder="1" applyAlignment="1">
      <alignment horizontal="right"/>
    </xf>
    <xf numFmtId="4" fontId="11" fillId="26" borderId="1" xfId="0" applyNumberFormat="1" applyFont="1" applyFill="1" applyBorder="1"/>
    <xf numFmtId="0" fontId="66" fillId="26" borderId="1" xfId="0" applyFont="1" applyFill="1" applyBorder="1" applyAlignment="1">
      <alignment horizontal="center"/>
    </xf>
    <xf numFmtId="2" fontId="54" fillId="30" borderId="0" xfId="0" quotePrefix="1" applyNumberFormat="1" applyFont="1" applyFill="1"/>
    <xf numFmtId="44" fontId="16" fillId="0" borderId="18" xfId="2" applyFont="1" applyFill="1" applyBorder="1" applyAlignment="1">
      <alignment horizontal="center"/>
    </xf>
    <xf numFmtId="0" fontId="19" fillId="0" borderId="37" xfId="0" applyFont="1" applyBorder="1" applyAlignment="1">
      <alignment horizontal="center"/>
    </xf>
    <xf numFmtId="0" fontId="19" fillId="0" borderId="38" xfId="0" applyFont="1" applyBorder="1" applyAlignment="1">
      <alignment horizontal="center"/>
    </xf>
    <xf numFmtId="0" fontId="33" fillId="0" borderId="37" xfId="0" applyFont="1" applyBorder="1" applyAlignment="1">
      <alignment horizontal="center"/>
    </xf>
    <xf numFmtId="0" fontId="33" fillId="0" borderId="39" xfId="0" applyFont="1" applyBorder="1" applyAlignment="1">
      <alignment horizontal="center"/>
    </xf>
    <xf numFmtId="0" fontId="33" fillId="0" borderId="40" xfId="0" applyFont="1" applyBorder="1" applyAlignment="1">
      <alignment horizontal="center"/>
    </xf>
    <xf numFmtId="0" fontId="19" fillId="0" borderId="35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41" fillId="0" borderId="12" xfId="0" applyFont="1" applyBorder="1" applyAlignment="1">
      <alignment horizontal="center"/>
    </xf>
    <xf numFmtId="0" fontId="41" fillId="0" borderId="31" xfId="0" applyFont="1" applyBorder="1" applyAlignment="1">
      <alignment horizontal="center"/>
    </xf>
    <xf numFmtId="0" fontId="40" fillId="0" borderId="12" xfId="0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40" fillId="0" borderId="31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P44"/>
  <sheetViews>
    <sheetView workbookViewId="0">
      <selection activeCell="F89" sqref="F89"/>
    </sheetView>
  </sheetViews>
  <sheetFormatPr baseColWidth="10" defaultRowHeight="13.2"/>
  <cols>
    <col min="1" max="1" width="5" customWidth="1"/>
    <col min="2" max="2" width="7" customWidth="1"/>
    <col min="3" max="3" width="10.5546875" customWidth="1"/>
    <col min="4" max="4" width="9.5546875" customWidth="1"/>
    <col min="5" max="5" width="7.88671875" customWidth="1"/>
    <col min="6" max="6" width="34.88671875" customWidth="1"/>
    <col min="7" max="7" width="10.6640625" customWidth="1"/>
    <col min="8" max="8" width="9.44140625" customWidth="1"/>
    <col min="11" max="11" width="9.88671875" customWidth="1"/>
    <col min="13" max="13" width="10.5546875" customWidth="1"/>
    <col min="14" max="14" width="10.6640625" customWidth="1"/>
    <col min="15" max="15" width="11.33203125" customWidth="1"/>
    <col min="16" max="16" width="2.109375" customWidth="1"/>
  </cols>
  <sheetData>
    <row r="6" spans="2:16" ht="15.6">
      <c r="G6" s="85" t="s">
        <v>14</v>
      </c>
      <c r="H6" s="84"/>
      <c r="I6" s="84"/>
      <c r="J6" s="84" t="s">
        <v>79</v>
      </c>
    </row>
    <row r="7" spans="2:16" ht="15.6">
      <c r="G7" s="84" t="s">
        <v>32</v>
      </c>
      <c r="H7" s="84"/>
      <c r="I7" s="84"/>
      <c r="J7" s="84" t="s">
        <v>80</v>
      </c>
    </row>
    <row r="8" spans="2:16" ht="18.600000000000001">
      <c r="B8" s="4" t="s">
        <v>7</v>
      </c>
      <c r="C8" s="93" t="s">
        <v>77</v>
      </c>
      <c r="D8" s="26"/>
      <c r="E8" s="23" t="s">
        <v>8</v>
      </c>
      <c r="F8" s="24">
        <v>2007</v>
      </c>
      <c r="G8" s="25"/>
      <c r="H8" s="86" t="s">
        <v>34</v>
      </c>
      <c r="I8" s="90"/>
      <c r="J8" s="90" t="s">
        <v>78</v>
      </c>
    </row>
    <row r="9" spans="2:16" ht="13.8" thickBot="1"/>
    <row r="10" spans="2:16" ht="13.8" thickTop="1">
      <c r="B10" s="5"/>
      <c r="C10" s="6"/>
      <c r="D10" s="403" t="s">
        <v>50</v>
      </c>
      <c r="E10" s="404"/>
      <c r="F10" s="6"/>
      <c r="G10" s="105"/>
      <c r="H10" s="405" t="s">
        <v>60</v>
      </c>
      <c r="I10" s="406"/>
      <c r="J10" s="406"/>
      <c r="K10" s="406"/>
      <c r="L10" s="406"/>
      <c r="M10" s="406"/>
      <c r="N10" s="406"/>
      <c r="O10" s="406"/>
      <c r="P10" s="407"/>
    </row>
    <row r="11" spans="2:16">
      <c r="B11" s="7"/>
      <c r="C11" s="8"/>
      <c r="D11" s="37"/>
      <c r="E11" s="38"/>
      <c r="F11" s="8"/>
      <c r="G11" s="106"/>
      <c r="H11" s="408" t="s">
        <v>61</v>
      </c>
      <c r="I11" s="409"/>
      <c r="J11" s="409"/>
      <c r="K11" s="410" t="s">
        <v>62</v>
      </c>
      <c r="L11" s="411"/>
      <c r="M11" s="411"/>
      <c r="N11" s="108"/>
      <c r="O11" s="107"/>
      <c r="P11" s="109"/>
    </row>
    <row r="12" spans="2:16">
      <c r="B12" s="7" t="s">
        <v>55</v>
      </c>
      <c r="C12" s="8" t="s">
        <v>51</v>
      </c>
      <c r="D12" s="8" t="s">
        <v>53</v>
      </c>
      <c r="E12" s="8" t="s">
        <v>54</v>
      </c>
      <c r="F12" s="8" t="s">
        <v>1</v>
      </c>
      <c r="G12" s="106" t="s">
        <v>2</v>
      </c>
      <c r="H12" s="106"/>
      <c r="I12" s="106" t="s">
        <v>63</v>
      </c>
      <c r="J12" s="37" t="s">
        <v>9</v>
      </c>
      <c r="K12" s="106"/>
      <c r="L12" s="106" t="s">
        <v>63</v>
      </c>
      <c r="M12" s="37" t="s">
        <v>9</v>
      </c>
      <c r="N12" s="106" t="s">
        <v>31</v>
      </c>
      <c r="O12" s="110" t="s">
        <v>6</v>
      </c>
      <c r="P12" s="109"/>
    </row>
    <row r="13" spans="2:16" ht="13.8" thickBot="1">
      <c r="B13" s="9"/>
      <c r="C13" s="10" t="s">
        <v>52</v>
      </c>
      <c r="D13" s="10"/>
      <c r="E13" s="10"/>
      <c r="F13" s="10"/>
      <c r="G13" s="111" t="s">
        <v>3</v>
      </c>
      <c r="H13" s="111" t="s">
        <v>4</v>
      </c>
      <c r="I13" s="111" t="s">
        <v>5</v>
      </c>
      <c r="J13" s="112" t="s">
        <v>59</v>
      </c>
      <c r="K13" s="111" t="s">
        <v>4</v>
      </c>
      <c r="L13" s="111" t="s">
        <v>5</v>
      </c>
      <c r="M13" s="112" t="s">
        <v>59</v>
      </c>
      <c r="N13" s="111" t="s">
        <v>42</v>
      </c>
      <c r="O13" s="113"/>
      <c r="P13" s="114"/>
    </row>
    <row r="14" spans="2:16" ht="13.8" thickTop="1">
      <c r="B14" s="33">
        <v>1</v>
      </c>
      <c r="C14" s="100">
        <v>39186</v>
      </c>
      <c r="D14" s="101">
        <v>3</v>
      </c>
      <c r="E14" s="101"/>
      <c r="F14" s="32" t="s">
        <v>83</v>
      </c>
      <c r="G14" s="101"/>
      <c r="H14" s="102"/>
      <c r="I14" s="14">
        <v>160</v>
      </c>
      <c r="J14" s="14">
        <v>20.8</v>
      </c>
      <c r="K14" s="15"/>
      <c r="L14" s="15"/>
      <c r="M14" s="15"/>
      <c r="N14" s="14">
        <v>1.6</v>
      </c>
      <c r="O14" s="39">
        <f>+I14+J14-N14</f>
        <v>179.20000000000002</v>
      </c>
      <c r="P14" s="12"/>
    </row>
    <row r="15" spans="2:16">
      <c r="B15" s="33">
        <f>1+B14</f>
        <v>2</v>
      </c>
      <c r="C15" s="100"/>
      <c r="D15" s="101"/>
      <c r="E15" s="101"/>
      <c r="F15" s="32"/>
      <c r="G15" s="101"/>
      <c r="H15" s="102"/>
      <c r="I15" s="14">
        <v>0</v>
      </c>
      <c r="J15" s="14">
        <v>0</v>
      </c>
      <c r="K15" s="15"/>
      <c r="L15" s="15"/>
      <c r="M15" s="15"/>
      <c r="N15" s="14"/>
      <c r="O15" s="39">
        <f>+I15+J15-N15</f>
        <v>0</v>
      </c>
      <c r="P15" s="12"/>
    </row>
    <row r="16" spans="2:16">
      <c r="B16" s="33"/>
      <c r="C16" s="94"/>
      <c r="D16" s="34"/>
      <c r="E16" s="34"/>
      <c r="F16" s="35"/>
      <c r="G16" s="34"/>
      <c r="H16" s="36"/>
      <c r="I16" s="14"/>
      <c r="J16" s="14"/>
      <c r="K16" s="15"/>
      <c r="L16" s="15"/>
      <c r="M16" s="15"/>
      <c r="N16" s="14"/>
      <c r="O16" s="39"/>
      <c r="P16" s="12"/>
    </row>
    <row r="17" spans="2:16">
      <c r="B17" s="33"/>
      <c r="C17" s="94"/>
      <c r="D17" s="34"/>
      <c r="E17" s="34"/>
      <c r="F17" s="35"/>
      <c r="G17" s="34"/>
      <c r="H17" s="36"/>
      <c r="I17" s="14"/>
      <c r="J17" s="14"/>
      <c r="K17" s="15"/>
      <c r="L17" s="15"/>
      <c r="M17" s="15"/>
      <c r="N17" s="14"/>
      <c r="O17" s="39"/>
      <c r="P17" s="12"/>
    </row>
    <row r="18" spans="2:16">
      <c r="B18" s="33"/>
      <c r="C18" s="94"/>
      <c r="D18" s="34"/>
      <c r="E18" s="34"/>
      <c r="F18" s="32"/>
      <c r="G18" s="34"/>
      <c r="H18" s="36"/>
      <c r="I18" s="14"/>
      <c r="J18" s="14"/>
      <c r="K18" s="15"/>
      <c r="L18" s="15"/>
      <c r="M18" s="15"/>
      <c r="N18" s="14"/>
      <c r="O18" s="39"/>
      <c r="P18" s="12"/>
    </row>
    <row r="19" spans="2:16">
      <c r="B19" s="95"/>
      <c r="C19" s="94"/>
      <c r="D19" s="34"/>
      <c r="E19" s="34"/>
      <c r="F19" s="35"/>
      <c r="G19" s="96"/>
      <c r="H19" s="97"/>
      <c r="I19" s="16"/>
      <c r="J19" s="16"/>
      <c r="K19" s="17"/>
      <c r="L19" s="17"/>
      <c r="M19" s="17"/>
      <c r="N19" s="16"/>
      <c r="O19" s="40"/>
      <c r="P19" s="13"/>
    </row>
    <row r="20" spans="2:16">
      <c r="B20" s="95"/>
      <c r="C20" s="35"/>
      <c r="D20" s="34"/>
      <c r="E20" s="34"/>
      <c r="F20" s="11" t="s">
        <v>10</v>
      </c>
      <c r="G20" s="34"/>
      <c r="H20" s="35"/>
      <c r="I20" s="14">
        <f>SUM(I14:I19)</f>
        <v>160</v>
      </c>
      <c r="J20" s="14">
        <f>SUM(J14:J19)</f>
        <v>20.8</v>
      </c>
      <c r="K20" s="14"/>
      <c r="L20" s="14"/>
      <c r="M20" s="14"/>
      <c r="N20" s="14">
        <f>SUM(N14:N19)</f>
        <v>1.6</v>
      </c>
      <c r="O20" s="14">
        <f>SUM(O14:O19)</f>
        <v>179.20000000000002</v>
      </c>
      <c r="P20" s="2"/>
    </row>
    <row r="21" spans="2:16" ht="13.8" thickBot="1">
      <c r="B21" s="98"/>
      <c r="C21" s="99"/>
      <c r="D21" s="99"/>
      <c r="E21" s="99"/>
      <c r="F21" s="99"/>
      <c r="G21" s="99"/>
      <c r="H21" s="99"/>
      <c r="I21" s="18"/>
      <c r="J21" s="18"/>
      <c r="K21" s="19"/>
      <c r="L21" s="19"/>
      <c r="M21" s="19"/>
      <c r="N21" s="19"/>
      <c r="O21" s="19"/>
      <c r="P21" s="3"/>
    </row>
    <row r="22" spans="2:16" ht="13.8" thickTop="1"/>
    <row r="25" spans="2:16" ht="13.8" thickBot="1"/>
    <row r="26" spans="2:16" ht="13.8" thickBot="1">
      <c r="D26" s="31"/>
      <c r="F26" s="48"/>
      <c r="G26" s="49" t="s">
        <v>64</v>
      </c>
      <c r="H26" s="50"/>
      <c r="I26" s="402" t="s">
        <v>76</v>
      </c>
      <c r="J26" s="402"/>
      <c r="K26" s="51"/>
    </row>
    <row r="27" spans="2:16">
      <c r="B27" s="21"/>
      <c r="C27" s="21"/>
      <c r="D27" s="21"/>
      <c r="F27" s="52" t="s">
        <v>65</v>
      </c>
      <c r="G27" s="53" t="s">
        <v>66</v>
      </c>
      <c r="H27" s="53" t="s">
        <v>67</v>
      </c>
      <c r="I27" s="54" t="s">
        <v>66</v>
      </c>
      <c r="J27" s="55" t="s">
        <v>67</v>
      </c>
      <c r="K27" s="56" t="s">
        <v>68</v>
      </c>
    </row>
    <row r="28" spans="2:16" ht="13.8">
      <c r="B28" s="21"/>
      <c r="C28" s="21"/>
      <c r="D28" s="21"/>
      <c r="F28" s="57" t="s">
        <v>69</v>
      </c>
      <c r="G28" s="61">
        <f>+I20</f>
        <v>160</v>
      </c>
      <c r="H28" s="61">
        <f>+J20</f>
        <v>20.8</v>
      </c>
      <c r="I28" s="61"/>
      <c r="J28" s="62"/>
      <c r="K28" s="63">
        <f>+N20</f>
        <v>1.6</v>
      </c>
    </row>
    <row r="29" spans="2:16" ht="13.8">
      <c r="F29" s="57" t="s">
        <v>70</v>
      </c>
      <c r="G29" s="64" t="e">
        <f>'VENTAS A CONSUMIDORES'!#REF!</f>
        <v>#REF!</v>
      </c>
      <c r="H29" s="64" t="e">
        <f>'VENTAS A CONSUMIDORES'!#REF!</f>
        <v>#REF!</v>
      </c>
      <c r="I29" s="64"/>
      <c r="J29" s="65"/>
      <c r="K29" s="66"/>
    </row>
    <row r="30" spans="2:16" ht="14.4" thickBot="1">
      <c r="F30" s="58" t="s">
        <v>71</v>
      </c>
      <c r="G30" s="78" t="e">
        <f>SUM(G28:G29)</f>
        <v>#REF!</v>
      </c>
      <c r="H30" s="78" t="e">
        <f>SUM(H28:H29)</f>
        <v>#REF!</v>
      </c>
      <c r="I30" s="76">
        <v>0</v>
      </c>
      <c r="J30" s="77">
        <v>0</v>
      </c>
      <c r="K30" s="78">
        <f>SUM(K28:K29)</f>
        <v>1.6</v>
      </c>
    </row>
    <row r="31" spans="2:16" ht="14.4" thickTop="1">
      <c r="F31" s="57" t="s">
        <v>72</v>
      </c>
      <c r="G31" s="61">
        <v>0</v>
      </c>
      <c r="H31" s="61"/>
      <c r="I31" s="61"/>
      <c r="J31" s="62"/>
      <c r="K31" s="63"/>
    </row>
    <row r="32" spans="2:16" ht="13.8">
      <c r="F32" s="57" t="s">
        <v>73</v>
      </c>
      <c r="G32" s="61">
        <v>0</v>
      </c>
      <c r="H32" s="61"/>
      <c r="I32" s="61"/>
      <c r="J32" s="62"/>
      <c r="K32" s="63"/>
    </row>
    <row r="33" spans="2:11" ht="13.8">
      <c r="F33" s="58" t="s">
        <v>74</v>
      </c>
      <c r="G33" s="67">
        <v>0</v>
      </c>
      <c r="H33" s="67"/>
      <c r="I33" s="67"/>
      <c r="J33" s="68"/>
      <c r="K33" s="69"/>
    </row>
    <row r="34" spans="2:11" ht="13.8">
      <c r="F34" s="57" t="s">
        <v>75</v>
      </c>
      <c r="G34" s="61"/>
      <c r="H34" s="61"/>
      <c r="I34" s="61"/>
      <c r="J34" s="62"/>
      <c r="K34" s="63"/>
    </row>
    <row r="35" spans="2:11" ht="13.8">
      <c r="F35" s="57"/>
      <c r="G35" s="61"/>
      <c r="H35" s="61"/>
      <c r="I35" s="61"/>
      <c r="J35" s="62"/>
      <c r="K35" s="63"/>
    </row>
    <row r="36" spans="2:11" ht="14.4" thickBot="1">
      <c r="F36" s="59" t="s">
        <v>6</v>
      </c>
      <c r="G36" s="70"/>
      <c r="H36" s="70"/>
      <c r="I36" s="70"/>
      <c r="J36" s="71"/>
      <c r="K36" s="72"/>
    </row>
    <row r="37" spans="2:11" ht="15" thickTop="1" thickBot="1">
      <c r="F37" s="60"/>
      <c r="G37" s="73"/>
      <c r="H37" s="73"/>
      <c r="I37" s="73"/>
      <c r="J37" s="74"/>
      <c r="K37" s="75"/>
    </row>
    <row r="38" spans="2:11">
      <c r="F38" s="44"/>
      <c r="G38" s="45"/>
      <c r="H38" s="45"/>
      <c r="I38" s="45"/>
      <c r="J38" s="46"/>
      <c r="K38" s="47"/>
    </row>
    <row r="39" spans="2:11">
      <c r="F39" s="43"/>
      <c r="G39" s="41"/>
      <c r="H39" s="41"/>
      <c r="I39" s="41"/>
      <c r="J39" s="42"/>
    </row>
    <row r="42" spans="2:11" ht="13.8" thickBot="1">
      <c r="B42" s="20" t="s">
        <v>11</v>
      </c>
      <c r="C42" s="20"/>
    </row>
    <row r="43" spans="2:11">
      <c r="B43" s="21" t="s">
        <v>13</v>
      </c>
      <c r="C43" s="21"/>
    </row>
    <row r="44" spans="2:11">
      <c r="B44" s="21" t="s">
        <v>12</v>
      </c>
      <c r="C44" s="21"/>
    </row>
  </sheetData>
  <mergeCells count="5">
    <mergeCell ref="I26:J26"/>
    <mergeCell ref="D10:E10"/>
    <mergeCell ref="H10:P10"/>
    <mergeCell ref="H11:J11"/>
    <mergeCell ref="K11:M11"/>
  </mergeCells>
  <phoneticPr fontId="0" type="noConversion"/>
  <pageMargins left="0.75" right="0.75" top="1" bottom="1" header="0" footer="0"/>
  <pageSetup scale="70" orientation="landscape" horizont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4:S877"/>
  <sheetViews>
    <sheetView tabSelected="1" topLeftCell="A828" zoomScale="115" zoomScaleNormal="115" workbookViewId="0">
      <selection activeCell="E843" sqref="E843"/>
    </sheetView>
  </sheetViews>
  <sheetFormatPr baseColWidth="10" defaultRowHeight="13.2"/>
  <cols>
    <col min="1" max="1" width="1.33203125" customWidth="1"/>
    <col min="2" max="2" width="4.88671875" customWidth="1"/>
    <col min="3" max="3" width="10.6640625" customWidth="1"/>
    <col min="4" max="4" width="12.88671875" customWidth="1"/>
    <col min="5" max="5" width="13" customWidth="1"/>
    <col min="6" max="6" width="8.5546875" customWidth="1"/>
    <col min="7" max="7" width="23.6640625" customWidth="1"/>
    <col min="8" max="8" width="8.5546875" customWidth="1"/>
    <col min="9" max="9" width="9.5546875" customWidth="1"/>
    <col min="10" max="10" width="10.5546875" customWidth="1"/>
    <col min="11" max="11" width="8.109375" customWidth="1"/>
    <col min="12" max="12" width="9" customWidth="1"/>
    <col min="13" max="13" width="11.5546875" customWidth="1"/>
    <col min="14" max="14" width="8" customWidth="1"/>
    <col min="15" max="15" width="12.5546875" bestFit="1" customWidth="1"/>
    <col min="16" max="16" width="8.33203125" customWidth="1"/>
  </cols>
  <sheetData>
    <row r="4" spans="2:16" ht="16.2">
      <c r="B4" s="87" t="s">
        <v>15</v>
      </c>
      <c r="C4" s="79"/>
      <c r="D4" s="148" t="s">
        <v>139</v>
      </c>
      <c r="E4" s="79"/>
      <c r="F4" s="79"/>
      <c r="G4" s="79"/>
      <c r="H4" s="115"/>
      <c r="I4" s="115"/>
      <c r="J4" s="115"/>
      <c r="K4" s="162" t="s">
        <v>80</v>
      </c>
      <c r="L4" s="115"/>
      <c r="M4" s="115"/>
      <c r="N4" s="115"/>
      <c r="O4" s="115"/>
      <c r="P4" s="79"/>
    </row>
    <row r="5" spans="2:16" ht="16.2">
      <c r="B5" s="79" t="s">
        <v>140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2:16" ht="16.8">
      <c r="B6" s="79" t="s">
        <v>16</v>
      </c>
      <c r="C6" s="158" t="s">
        <v>81</v>
      </c>
      <c r="D6" s="88" t="s">
        <v>8</v>
      </c>
      <c r="E6" s="89">
        <v>2021</v>
      </c>
      <c r="F6" s="80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2:16">
      <c r="B7" s="131" t="s">
        <v>17</v>
      </c>
      <c r="C7" s="131" t="s">
        <v>18</v>
      </c>
      <c r="D7" s="131" t="s">
        <v>19</v>
      </c>
      <c r="E7" s="131" t="s">
        <v>19</v>
      </c>
      <c r="F7" s="132" t="s">
        <v>44</v>
      </c>
      <c r="G7" s="133"/>
      <c r="H7" s="134"/>
      <c r="I7" s="135"/>
      <c r="J7" s="134"/>
      <c r="K7" s="135"/>
      <c r="L7" s="136"/>
      <c r="M7" s="135" t="s">
        <v>85</v>
      </c>
      <c r="N7" s="137" t="s">
        <v>56</v>
      </c>
      <c r="O7" s="138" t="s">
        <v>20</v>
      </c>
      <c r="P7" s="132" t="s">
        <v>47</v>
      </c>
    </row>
    <row r="8" spans="2:16">
      <c r="B8" s="139" t="s">
        <v>21</v>
      </c>
      <c r="C8" s="139" t="s">
        <v>22</v>
      </c>
      <c r="D8" s="139" t="s">
        <v>23</v>
      </c>
      <c r="E8" s="139" t="s">
        <v>24</v>
      </c>
      <c r="F8" s="140" t="s">
        <v>45</v>
      </c>
      <c r="G8" s="81" t="s">
        <v>25</v>
      </c>
      <c r="H8" s="412" t="s">
        <v>26</v>
      </c>
      <c r="I8" s="413"/>
      <c r="J8" s="414" t="s">
        <v>27</v>
      </c>
      <c r="K8" s="415"/>
      <c r="L8" s="416"/>
      <c r="M8" s="141" t="s">
        <v>86</v>
      </c>
      <c r="N8" s="142" t="s">
        <v>57</v>
      </c>
      <c r="O8" s="143" t="s">
        <v>28</v>
      </c>
      <c r="P8" s="140" t="s">
        <v>48</v>
      </c>
    </row>
    <row r="9" spans="2:16">
      <c r="B9" s="144"/>
      <c r="C9" s="144"/>
      <c r="D9" s="144"/>
      <c r="E9" s="144"/>
      <c r="F9" s="145" t="s">
        <v>46</v>
      </c>
      <c r="G9" s="146"/>
      <c r="H9" s="144" t="s">
        <v>29</v>
      </c>
      <c r="I9" s="145" t="s">
        <v>30</v>
      </c>
      <c r="J9" s="144" t="s">
        <v>29</v>
      </c>
      <c r="K9" s="145" t="s">
        <v>30</v>
      </c>
      <c r="L9" s="145" t="s">
        <v>31</v>
      </c>
      <c r="M9" s="212" t="s">
        <v>87</v>
      </c>
      <c r="N9" s="211" t="s">
        <v>58</v>
      </c>
      <c r="O9" s="212"/>
      <c r="P9" s="140" t="s">
        <v>49</v>
      </c>
    </row>
    <row r="10" spans="2:16">
      <c r="B10" s="139">
        <v>1</v>
      </c>
      <c r="C10" s="218" t="s">
        <v>109</v>
      </c>
      <c r="D10" s="177" t="s">
        <v>106</v>
      </c>
      <c r="E10" s="175" t="s">
        <v>144</v>
      </c>
      <c r="F10" s="139"/>
      <c r="G10" s="168" t="s">
        <v>90</v>
      </c>
      <c r="H10" s="139"/>
      <c r="I10" s="140"/>
      <c r="J10" s="170">
        <v>622.95000000000005</v>
      </c>
      <c r="K10" s="160"/>
      <c r="L10" s="170">
        <f>J10*13%</f>
        <v>80.983500000000006</v>
      </c>
      <c r="M10" s="161"/>
      <c r="N10" s="157"/>
      <c r="O10" s="22">
        <f t="shared" ref="O10:O17" si="0">+J10+L10+M10</f>
        <v>703.93350000000009</v>
      </c>
      <c r="P10" s="140"/>
    </row>
    <row r="11" spans="2:16">
      <c r="B11" s="139">
        <v>2</v>
      </c>
      <c r="C11" s="199">
        <v>44532</v>
      </c>
      <c r="D11" s="177" t="s">
        <v>107</v>
      </c>
      <c r="E11" s="175" t="s">
        <v>150</v>
      </c>
      <c r="F11" s="139"/>
      <c r="G11" s="168" t="s">
        <v>97</v>
      </c>
      <c r="H11" s="139"/>
      <c r="I11" s="140"/>
      <c r="J11" s="170">
        <v>12.22</v>
      </c>
      <c r="K11" s="160"/>
      <c r="L11" s="170">
        <f t="shared" ref="L11:L38" si="1">J11*13%</f>
        <v>1.5886000000000002</v>
      </c>
      <c r="M11" s="161"/>
      <c r="N11" s="157"/>
      <c r="O11" s="22">
        <f t="shared" si="0"/>
        <v>13.8086</v>
      </c>
      <c r="P11" s="140"/>
    </row>
    <row r="12" spans="2:16">
      <c r="B12" s="139">
        <v>3</v>
      </c>
      <c r="C12" s="218">
        <v>44535</v>
      </c>
      <c r="D12" s="177" t="s">
        <v>108</v>
      </c>
      <c r="E12" s="175" t="s">
        <v>151</v>
      </c>
      <c r="F12" s="139"/>
      <c r="G12" s="208" t="s">
        <v>99</v>
      </c>
      <c r="H12" s="209"/>
      <c r="I12" s="210"/>
      <c r="J12" s="171">
        <v>8.2100000000000009</v>
      </c>
      <c r="K12" s="160"/>
      <c r="L12" s="170">
        <f t="shared" si="1"/>
        <v>1.0673000000000001</v>
      </c>
      <c r="M12" s="161"/>
      <c r="N12" s="157"/>
      <c r="O12" s="22">
        <f t="shared" si="0"/>
        <v>9.2773000000000003</v>
      </c>
      <c r="P12" s="140"/>
    </row>
    <row r="13" spans="2:16">
      <c r="B13" s="139">
        <v>4</v>
      </c>
      <c r="C13" s="218">
        <v>44536</v>
      </c>
      <c r="D13" s="177" t="s">
        <v>110</v>
      </c>
      <c r="E13" s="175" t="s">
        <v>145</v>
      </c>
      <c r="F13" s="139"/>
      <c r="G13" s="208" t="s">
        <v>93</v>
      </c>
      <c r="H13" s="209"/>
      <c r="I13" s="210"/>
      <c r="J13" s="171">
        <v>26.55</v>
      </c>
      <c r="K13" s="160"/>
      <c r="L13" s="170">
        <f t="shared" si="1"/>
        <v>3.4515000000000002</v>
      </c>
      <c r="M13" s="161"/>
      <c r="N13" s="157"/>
      <c r="O13" s="22">
        <f t="shared" si="0"/>
        <v>30.0015</v>
      </c>
      <c r="P13" s="140"/>
    </row>
    <row r="14" spans="2:16">
      <c r="B14" s="139">
        <v>5</v>
      </c>
      <c r="C14" s="218">
        <v>44537</v>
      </c>
      <c r="D14" s="177" t="s">
        <v>111</v>
      </c>
      <c r="E14" s="175" t="s">
        <v>142</v>
      </c>
      <c r="F14" s="139"/>
      <c r="G14" s="168" t="s">
        <v>98</v>
      </c>
      <c r="H14" s="139"/>
      <c r="I14" s="140"/>
      <c r="J14" s="170">
        <v>53.28</v>
      </c>
      <c r="K14" s="160"/>
      <c r="L14" s="170">
        <f t="shared" si="1"/>
        <v>6.9264000000000001</v>
      </c>
      <c r="M14" s="161"/>
      <c r="N14" s="157"/>
      <c r="O14" s="22">
        <f t="shared" si="0"/>
        <v>60.206400000000002</v>
      </c>
      <c r="P14" s="140"/>
    </row>
    <row r="15" spans="2:16">
      <c r="B15" s="139">
        <v>6</v>
      </c>
      <c r="C15" s="218">
        <v>44537</v>
      </c>
      <c r="D15" s="177" t="s">
        <v>112</v>
      </c>
      <c r="E15" s="175" t="s">
        <v>142</v>
      </c>
      <c r="F15" s="139"/>
      <c r="G15" s="168" t="s">
        <v>98</v>
      </c>
      <c r="H15" s="139"/>
      <c r="I15" s="140"/>
      <c r="J15" s="170">
        <v>59.91</v>
      </c>
      <c r="K15" s="160"/>
      <c r="L15" s="170">
        <f t="shared" si="1"/>
        <v>7.7882999999999996</v>
      </c>
      <c r="M15" s="161"/>
      <c r="N15" s="157"/>
      <c r="O15" s="22">
        <f t="shared" si="0"/>
        <v>67.698299999999989</v>
      </c>
      <c r="P15" s="140"/>
    </row>
    <row r="16" spans="2:16">
      <c r="B16" s="139">
        <v>7</v>
      </c>
      <c r="C16" s="218">
        <v>44539</v>
      </c>
      <c r="D16" s="177" t="s">
        <v>113</v>
      </c>
      <c r="E16" s="175" t="s">
        <v>149</v>
      </c>
      <c r="F16" s="139"/>
      <c r="G16" s="168" t="s">
        <v>96</v>
      </c>
      <c r="H16" s="139"/>
      <c r="I16" s="140"/>
      <c r="J16" s="170">
        <v>122.35</v>
      </c>
      <c r="K16" s="160"/>
      <c r="L16" s="170">
        <f t="shared" si="1"/>
        <v>15.9055</v>
      </c>
      <c r="M16" s="161"/>
      <c r="N16" s="157"/>
      <c r="O16" s="22">
        <f t="shared" si="0"/>
        <v>138.25549999999998</v>
      </c>
      <c r="P16" s="140"/>
    </row>
    <row r="17" spans="2:16">
      <c r="B17" s="139">
        <v>8</v>
      </c>
      <c r="C17" s="172" t="s">
        <v>114</v>
      </c>
      <c r="D17" s="177" t="s">
        <v>115</v>
      </c>
      <c r="E17" s="175" t="s">
        <v>141</v>
      </c>
      <c r="F17" s="139"/>
      <c r="G17" s="168" t="s">
        <v>101</v>
      </c>
      <c r="H17" s="139"/>
      <c r="I17" s="140"/>
      <c r="J17" s="170">
        <v>38.630000000000003</v>
      </c>
      <c r="K17" s="160"/>
      <c r="L17" s="170">
        <f t="shared" si="1"/>
        <v>5.0219000000000005</v>
      </c>
      <c r="M17" s="161"/>
      <c r="N17" s="157"/>
      <c r="O17" s="22">
        <f t="shared" si="0"/>
        <v>43.651900000000005</v>
      </c>
      <c r="P17" s="140"/>
    </row>
    <row r="18" spans="2:16">
      <c r="B18" s="139">
        <v>9</v>
      </c>
      <c r="C18" s="218">
        <v>44541</v>
      </c>
      <c r="D18" s="177" t="s">
        <v>116</v>
      </c>
      <c r="E18" s="175" t="s">
        <v>155</v>
      </c>
      <c r="F18" s="139"/>
      <c r="G18" s="168" t="s">
        <v>117</v>
      </c>
      <c r="H18" s="139"/>
      <c r="I18" s="140"/>
      <c r="J18" s="170">
        <v>954.87</v>
      </c>
      <c r="K18" s="160"/>
      <c r="L18" s="170">
        <f t="shared" si="1"/>
        <v>124.1331</v>
      </c>
      <c r="M18" s="161"/>
      <c r="N18" s="170"/>
      <c r="O18" s="22">
        <f>+J18+L18+M18+N18</f>
        <v>1079.0030999999999</v>
      </c>
      <c r="P18" s="140"/>
    </row>
    <row r="19" spans="2:16">
      <c r="B19" s="139">
        <v>10</v>
      </c>
      <c r="C19" s="218">
        <v>44541</v>
      </c>
      <c r="D19" s="177" t="s">
        <v>118</v>
      </c>
      <c r="E19" s="175" t="s">
        <v>147</v>
      </c>
      <c r="F19" s="139"/>
      <c r="G19" s="168" t="s">
        <v>119</v>
      </c>
      <c r="H19" s="139"/>
      <c r="I19" s="140"/>
      <c r="J19" s="170">
        <v>27.3</v>
      </c>
      <c r="K19" s="160"/>
      <c r="L19" s="170">
        <f t="shared" si="1"/>
        <v>3.5490000000000004</v>
      </c>
      <c r="M19" s="161"/>
      <c r="N19" s="157"/>
      <c r="O19" s="22">
        <f t="shared" ref="O19:O25" si="2">+J19+L19+M19</f>
        <v>30.849</v>
      </c>
      <c r="P19" s="140"/>
    </row>
    <row r="20" spans="2:16">
      <c r="B20" s="139">
        <v>11</v>
      </c>
      <c r="C20" s="218">
        <v>44541</v>
      </c>
      <c r="D20" s="177" t="s">
        <v>120</v>
      </c>
      <c r="E20" s="175" t="s">
        <v>148</v>
      </c>
      <c r="F20" s="139"/>
      <c r="G20" s="208" t="s">
        <v>103</v>
      </c>
      <c r="H20" s="209"/>
      <c r="I20" s="210"/>
      <c r="J20" s="171">
        <v>16.309999999999999</v>
      </c>
      <c r="K20" s="160"/>
      <c r="L20" s="170">
        <f t="shared" si="1"/>
        <v>2.1202999999999999</v>
      </c>
      <c r="M20" s="161"/>
      <c r="N20" s="157"/>
      <c r="O20" s="22">
        <f t="shared" si="2"/>
        <v>18.430299999999999</v>
      </c>
      <c r="P20" s="140"/>
    </row>
    <row r="21" spans="2:16">
      <c r="B21" s="139">
        <v>12</v>
      </c>
      <c r="C21" s="218">
        <v>44541</v>
      </c>
      <c r="D21" s="177" t="s">
        <v>121</v>
      </c>
      <c r="E21" s="175" t="s">
        <v>152</v>
      </c>
      <c r="F21" s="139"/>
      <c r="G21" s="174" t="s">
        <v>102</v>
      </c>
      <c r="H21" s="139"/>
      <c r="I21" s="140"/>
      <c r="J21" s="170">
        <v>12.08</v>
      </c>
      <c r="K21" s="160"/>
      <c r="L21" s="170">
        <f t="shared" si="1"/>
        <v>1.5704</v>
      </c>
      <c r="M21" s="161"/>
      <c r="N21" s="157"/>
      <c r="O21" s="22">
        <f t="shared" si="2"/>
        <v>13.650399999999999</v>
      </c>
      <c r="P21" s="140"/>
    </row>
    <row r="22" spans="2:16">
      <c r="B22" s="139">
        <v>13</v>
      </c>
      <c r="C22" s="218">
        <v>44541</v>
      </c>
      <c r="D22" s="177" t="s">
        <v>122</v>
      </c>
      <c r="E22" s="167" t="s">
        <v>146</v>
      </c>
      <c r="F22" s="139"/>
      <c r="G22" s="169" t="s">
        <v>95</v>
      </c>
      <c r="H22" s="139"/>
      <c r="I22" s="140"/>
      <c r="J22" s="170">
        <v>16.55</v>
      </c>
      <c r="K22" s="160"/>
      <c r="L22" s="170">
        <f t="shared" si="1"/>
        <v>2.1515</v>
      </c>
      <c r="M22" s="161"/>
      <c r="N22" s="157"/>
      <c r="O22" s="22">
        <f t="shared" si="2"/>
        <v>18.701499999999999</v>
      </c>
      <c r="P22" s="140"/>
    </row>
    <row r="23" spans="2:16">
      <c r="B23" s="139">
        <v>14</v>
      </c>
      <c r="C23" s="218">
        <v>44542</v>
      </c>
      <c r="D23" s="177" t="s">
        <v>123</v>
      </c>
      <c r="E23" s="205" t="s">
        <v>154</v>
      </c>
      <c r="F23" s="139"/>
      <c r="G23" s="217" t="s">
        <v>105</v>
      </c>
      <c r="H23" s="209"/>
      <c r="I23" s="210"/>
      <c r="J23" s="171">
        <v>8.15</v>
      </c>
      <c r="K23" s="160"/>
      <c r="L23" s="170">
        <f t="shared" si="1"/>
        <v>1.0595000000000001</v>
      </c>
      <c r="M23" s="161"/>
      <c r="N23" s="157"/>
      <c r="O23" s="22">
        <f t="shared" si="2"/>
        <v>9.2095000000000002</v>
      </c>
      <c r="P23" s="140"/>
    </row>
    <row r="24" spans="2:16">
      <c r="B24" s="139">
        <v>15</v>
      </c>
      <c r="C24" s="218">
        <v>44544</v>
      </c>
      <c r="D24" s="177" t="s">
        <v>124</v>
      </c>
      <c r="E24" s="175" t="s">
        <v>142</v>
      </c>
      <c r="F24" s="139"/>
      <c r="G24" s="168" t="s">
        <v>98</v>
      </c>
      <c r="H24" s="139"/>
      <c r="I24" s="140"/>
      <c r="J24" s="170">
        <v>81.94</v>
      </c>
      <c r="K24" s="160"/>
      <c r="L24" s="170">
        <f t="shared" si="1"/>
        <v>10.652200000000001</v>
      </c>
      <c r="M24" s="161"/>
      <c r="N24" s="157"/>
      <c r="O24" s="22">
        <f t="shared" si="2"/>
        <v>92.592199999999991</v>
      </c>
      <c r="P24" s="140"/>
    </row>
    <row r="25" spans="2:16">
      <c r="B25" s="139">
        <v>16</v>
      </c>
      <c r="C25" s="218">
        <v>44545</v>
      </c>
      <c r="D25" s="177" t="s">
        <v>125</v>
      </c>
      <c r="E25" s="175" t="s">
        <v>141</v>
      </c>
      <c r="F25" s="139"/>
      <c r="G25" s="168" t="s">
        <v>101</v>
      </c>
      <c r="H25" s="139"/>
      <c r="I25" s="140"/>
      <c r="J25" s="170">
        <v>18.75</v>
      </c>
      <c r="K25" s="160"/>
      <c r="L25" s="170">
        <f t="shared" si="1"/>
        <v>2.4375</v>
      </c>
      <c r="M25" s="161"/>
      <c r="N25" s="157"/>
      <c r="O25" s="22">
        <f t="shared" si="2"/>
        <v>21.1875</v>
      </c>
      <c r="P25" s="140"/>
    </row>
    <row r="26" spans="2:16">
      <c r="B26" s="139">
        <v>17</v>
      </c>
      <c r="C26" s="218">
        <v>44546</v>
      </c>
      <c r="D26" s="177" t="s">
        <v>126</v>
      </c>
      <c r="E26" s="178" t="s">
        <v>153</v>
      </c>
      <c r="F26" s="139"/>
      <c r="G26" s="173" t="s">
        <v>104</v>
      </c>
      <c r="H26" s="139"/>
      <c r="I26" s="140"/>
      <c r="J26" s="170">
        <v>138.76</v>
      </c>
      <c r="K26" s="160"/>
      <c r="L26" s="170">
        <f t="shared" si="1"/>
        <v>18.038799999999998</v>
      </c>
      <c r="M26" s="161"/>
      <c r="N26" s="170"/>
      <c r="O26" s="22">
        <f>+J26+L26+M26+N26</f>
        <v>156.7988</v>
      </c>
      <c r="P26" s="140"/>
    </row>
    <row r="27" spans="2:16">
      <c r="B27" s="139">
        <v>18</v>
      </c>
      <c r="C27" s="218">
        <v>44546</v>
      </c>
      <c r="D27" s="177" t="s">
        <v>127</v>
      </c>
      <c r="E27" s="178" t="s">
        <v>153</v>
      </c>
      <c r="F27" s="139"/>
      <c r="G27" s="173" t="s">
        <v>104</v>
      </c>
      <c r="H27" s="139"/>
      <c r="I27" s="140"/>
      <c r="J27" s="170">
        <v>49.98</v>
      </c>
      <c r="K27" s="160"/>
      <c r="L27" s="170">
        <f t="shared" si="1"/>
        <v>6.4973999999999998</v>
      </c>
      <c r="M27" s="161"/>
      <c r="N27" s="157"/>
      <c r="O27" s="22">
        <f t="shared" ref="O27:O38" si="3">+J27+L27+M27+N27</f>
        <v>56.477399999999996</v>
      </c>
      <c r="P27" s="140"/>
    </row>
    <row r="28" spans="2:16">
      <c r="B28" s="139">
        <v>19</v>
      </c>
      <c r="C28" s="218">
        <v>44546</v>
      </c>
      <c r="D28" s="177" t="s">
        <v>128</v>
      </c>
      <c r="E28" s="175" t="s">
        <v>151</v>
      </c>
      <c r="F28" s="139"/>
      <c r="G28" s="208" t="s">
        <v>99</v>
      </c>
      <c r="H28" s="139"/>
      <c r="I28" s="140"/>
      <c r="J28" s="170">
        <v>16.23</v>
      </c>
      <c r="K28" s="160"/>
      <c r="L28" s="170">
        <f t="shared" si="1"/>
        <v>2.1099000000000001</v>
      </c>
      <c r="M28" s="161"/>
      <c r="N28" s="204"/>
      <c r="O28" s="22">
        <f t="shared" si="3"/>
        <v>18.3399</v>
      </c>
      <c r="P28" s="140"/>
    </row>
    <row r="29" spans="2:16">
      <c r="B29" s="139">
        <v>20</v>
      </c>
      <c r="C29" s="218">
        <v>44550</v>
      </c>
      <c r="D29" s="177" t="s">
        <v>129</v>
      </c>
      <c r="E29" s="175" t="s">
        <v>149</v>
      </c>
      <c r="F29" s="139"/>
      <c r="G29" s="168" t="s">
        <v>96</v>
      </c>
      <c r="H29" s="139"/>
      <c r="I29" s="140"/>
      <c r="J29" s="170">
        <v>105.98</v>
      </c>
      <c r="K29" s="160"/>
      <c r="L29" s="170">
        <f t="shared" si="1"/>
        <v>13.777400000000002</v>
      </c>
      <c r="M29" s="161"/>
      <c r="N29" s="157"/>
      <c r="O29" s="22">
        <f t="shared" si="3"/>
        <v>119.7574</v>
      </c>
      <c r="P29" s="140"/>
    </row>
    <row r="30" spans="2:16">
      <c r="B30" s="139">
        <v>21</v>
      </c>
      <c r="C30" s="218">
        <v>44551</v>
      </c>
      <c r="D30" s="177" t="s">
        <v>130</v>
      </c>
      <c r="E30" s="175" t="s">
        <v>142</v>
      </c>
      <c r="F30" s="139"/>
      <c r="G30" s="168" t="s">
        <v>98</v>
      </c>
      <c r="H30" s="139"/>
      <c r="I30" s="140"/>
      <c r="J30" s="170">
        <v>25.55</v>
      </c>
      <c r="K30" s="160"/>
      <c r="L30" s="170">
        <f t="shared" si="1"/>
        <v>3.3215000000000003</v>
      </c>
      <c r="M30" s="161"/>
      <c r="N30" s="157"/>
      <c r="O30" s="22">
        <f t="shared" si="3"/>
        <v>28.871500000000001</v>
      </c>
      <c r="P30" s="140"/>
    </row>
    <row r="31" spans="2:16">
      <c r="B31" s="139">
        <v>22</v>
      </c>
      <c r="C31" s="218">
        <v>44551</v>
      </c>
      <c r="D31" s="203" t="s">
        <v>131</v>
      </c>
      <c r="E31" s="175" t="s">
        <v>142</v>
      </c>
      <c r="F31" s="139"/>
      <c r="G31" s="168" t="s">
        <v>98</v>
      </c>
      <c r="H31" s="139"/>
      <c r="I31" s="140"/>
      <c r="J31" s="204">
        <v>126.57</v>
      </c>
      <c r="K31" s="160"/>
      <c r="L31" s="204">
        <f t="shared" si="1"/>
        <v>16.4541</v>
      </c>
      <c r="M31" s="161"/>
      <c r="N31" s="157"/>
      <c r="O31" s="22">
        <f t="shared" si="3"/>
        <v>143.0241</v>
      </c>
      <c r="P31" s="140"/>
    </row>
    <row r="32" spans="2:16">
      <c r="B32" s="139">
        <v>23</v>
      </c>
      <c r="C32" s="218">
        <v>44551</v>
      </c>
      <c r="D32" s="203" t="s">
        <v>132</v>
      </c>
      <c r="E32" s="175" t="s">
        <v>143</v>
      </c>
      <c r="F32" s="139"/>
      <c r="G32" s="173" t="s">
        <v>100</v>
      </c>
      <c r="H32" s="139"/>
      <c r="I32" s="140"/>
      <c r="J32" s="204">
        <v>71.89</v>
      </c>
      <c r="K32" s="160"/>
      <c r="L32" s="204">
        <f t="shared" si="1"/>
        <v>9.3457000000000008</v>
      </c>
      <c r="M32" s="161"/>
      <c r="N32" s="157"/>
      <c r="O32" s="22">
        <f t="shared" si="3"/>
        <v>81.235700000000008</v>
      </c>
      <c r="P32" s="140"/>
    </row>
    <row r="33" spans="2:16">
      <c r="B33" s="139">
        <v>24</v>
      </c>
      <c r="C33" s="218">
        <v>44553</v>
      </c>
      <c r="D33" s="203" t="s">
        <v>133</v>
      </c>
      <c r="E33" s="175" t="s">
        <v>151</v>
      </c>
      <c r="F33" s="139"/>
      <c r="G33" s="208" t="s">
        <v>99</v>
      </c>
      <c r="H33" s="139"/>
      <c r="I33" s="140"/>
      <c r="J33" s="204">
        <v>20.37</v>
      </c>
      <c r="K33" s="160"/>
      <c r="L33" s="204">
        <f t="shared" si="1"/>
        <v>2.6481000000000003</v>
      </c>
      <c r="M33" s="161"/>
      <c r="N33" s="157"/>
      <c r="O33" s="22">
        <f t="shared" si="3"/>
        <v>23.0181</v>
      </c>
      <c r="P33" s="140"/>
    </row>
    <row r="34" spans="2:16">
      <c r="B34" s="139">
        <v>25</v>
      </c>
      <c r="C34" s="218">
        <v>44558</v>
      </c>
      <c r="D34" s="203" t="s">
        <v>134</v>
      </c>
      <c r="E34" s="175" t="s">
        <v>143</v>
      </c>
      <c r="F34" s="139"/>
      <c r="G34" s="173" t="s">
        <v>100</v>
      </c>
      <c r="H34" s="139"/>
      <c r="I34" s="140"/>
      <c r="J34" s="204">
        <v>119.95</v>
      </c>
      <c r="K34" s="160"/>
      <c r="L34" s="204">
        <f t="shared" si="1"/>
        <v>15.593500000000001</v>
      </c>
      <c r="M34" s="161"/>
      <c r="N34" s="157"/>
      <c r="O34" s="22">
        <f t="shared" si="3"/>
        <v>135.54349999999999</v>
      </c>
      <c r="P34" s="140"/>
    </row>
    <row r="35" spans="2:16">
      <c r="B35" s="139">
        <v>26</v>
      </c>
      <c r="C35" s="218">
        <v>44558</v>
      </c>
      <c r="D35" s="203" t="s">
        <v>135</v>
      </c>
      <c r="E35" s="175" t="s">
        <v>142</v>
      </c>
      <c r="F35" s="139"/>
      <c r="G35" s="168" t="s">
        <v>98</v>
      </c>
      <c r="H35" s="139"/>
      <c r="I35" s="140"/>
      <c r="J35" s="204">
        <v>64.47</v>
      </c>
      <c r="K35" s="160"/>
      <c r="L35" s="204">
        <f t="shared" si="1"/>
        <v>8.3811</v>
      </c>
      <c r="M35" s="161"/>
      <c r="N35" s="157"/>
      <c r="O35" s="22">
        <f t="shared" si="3"/>
        <v>72.851100000000002</v>
      </c>
      <c r="P35" s="140"/>
    </row>
    <row r="36" spans="2:16">
      <c r="B36" s="139">
        <v>27</v>
      </c>
      <c r="C36" s="218">
        <v>44558</v>
      </c>
      <c r="D36" s="203" t="s">
        <v>136</v>
      </c>
      <c r="E36" s="175" t="s">
        <v>142</v>
      </c>
      <c r="F36" s="139"/>
      <c r="G36" s="168" t="s">
        <v>98</v>
      </c>
      <c r="H36" s="139"/>
      <c r="I36" s="140"/>
      <c r="J36" s="204">
        <v>64.08</v>
      </c>
      <c r="K36" s="160"/>
      <c r="L36" s="204">
        <f t="shared" si="1"/>
        <v>8.3304000000000009</v>
      </c>
      <c r="M36" s="161"/>
      <c r="N36" s="157"/>
      <c r="O36" s="22">
        <f t="shared" si="3"/>
        <v>72.410399999999996</v>
      </c>
      <c r="P36" s="140"/>
    </row>
    <row r="37" spans="2:16">
      <c r="B37" s="139">
        <v>28</v>
      </c>
      <c r="C37" s="218">
        <v>44559</v>
      </c>
      <c r="D37" s="203" t="s">
        <v>137</v>
      </c>
      <c r="E37" s="175" t="s">
        <v>143</v>
      </c>
      <c r="F37" s="139"/>
      <c r="G37" s="173" t="s">
        <v>100</v>
      </c>
      <c r="H37" s="139"/>
      <c r="I37" s="140"/>
      <c r="J37" s="204">
        <v>47.16</v>
      </c>
      <c r="K37" s="160"/>
      <c r="L37" s="204">
        <f t="shared" si="1"/>
        <v>6.1307999999999998</v>
      </c>
      <c r="M37" s="161"/>
      <c r="N37" s="157"/>
      <c r="O37" s="22">
        <f t="shared" si="3"/>
        <v>53.290799999999997</v>
      </c>
      <c r="P37" s="140"/>
    </row>
    <row r="38" spans="2:16">
      <c r="B38" s="139">
        <v>29</v>
      </c>
      <c r="C38" s="218">
        <v>44559</v>
      </c>
      <c r="D38" s="203" t="s">
        <v>138</v>
      </c>
      <c r="E38" s="175" t="s">
        <v>149</v>
      </c>
      <c r="F38" s="139"/>
      <c r="G38" s="168" t="s">
        <v>96</v>
      </c>
      <c r="H38" s="139"/>
      <c r="I38" s="140"/>
      <c r="J38" s="204">
        <v>11.05</v>
      </c>
      <c r="K38" s="160"/>
      <c r="L38" s="204">
        <f t="shared" si="1"/>
        <v>1.4365000000000001</v>
      </c>
      <c r="M38" s="161"/>
      <c r="N38" s="157"/>
      <c r="O38" s="22">
        <f t="shared" si="3"/>
        <v>12.486500000000001</v>
      </c>
      <c r="P38" s="140"/>
    </row>
    <row r="39" spans="2:16" ht="13.8">
      <c r="B39" s="128"/>
      <c r="C39" s="129"/>
      <c r="D39" s="125"/>
      <c r="E39" s="125"/>
      <c r="F39" s="125"/>
      <c r="G39" s="149" t="s">
        <v>88</v>
      </c>
      <c r="H39" s="130"/>
      <c r="I39" s="130"/>
      <c r="J39" s="150">
        <f>SUM(J10:J38)</f>
        <v>2942.0899999999992</v>
      </c>
      <c r="K39" s="151"/>
      <c r="L39" s="150">
        <f>SUM(L10:L38)</f>
        <v>382.47170000000011</v>
      </c>
      <c r="M39" s="150">
        <f>SUM(M10:M19)</f>
        <v>0</v>
      </c>
      <c r="N39" s="150">
        <f>SUM(N10:N30)</f>
        <v>0</v>
      </c>
      <c r="O39" s="150">
        <f>SUM(O10:O38)</f>
        <v>3324.5617000000011</v>
      </c>
      <c r="P39" s="130"/>
    </row>
    <row r="40" spans="2:16">
      <c r="L40" s="164"/>
    </row>
    <row r="41" spans="2:16" ht="15.6">
      <c r="B41" s="147" t="s">
        <v>11</v>
      </c>
      <c r="C41" s="147"/>
      <c r="D41" s="147"/>
      <c r="I41" s="213"/>
      <c r="L41" s="103">
        <f>J39*13%</f>
        <v>382.47169999999994</v>
      </c>
      <c r="O41" s="103"/>
      <c r="P41" s="103"/>
    </row>
    <row r="42" spans="2:16" ht="17.399999999999999">
      <c r="B42" s="90" t="s">
        <v>84</v>
      </c>
      <c r="C42" s="83"/>
      <c r="D42" s="83"/>
      <c r="I42" s="47"/>
      <c r="J42" s="206"/>
      <c r="L42" s="103"/>
    </row>
    <row r="43" spans="2:16" ht="15.6">
      <c r="B43" s="83" t="s">
        <v>12</v>
      </c>
      <c r="L43" s="176"/>
    </row>
    <row r="54" spans="2:16" ht="16.2">
      <c r="B54" s="87" t="s">
        <v>15</v>
      </c>
      <c r="C54" s="79"/>
      <c r="D54" s="148" t="s">
        <v>139</v>
      </c>
      <c r="E54" s="79"/>
      <c r="F54" s="79"/>
      <c r="G54" s="79"/>
      <c r="H54" s="115"/>
      <c r="I54" s="115"/>
      <c r="J54" s="115"/>
      <c r="K54" s="162" t="s">
        <v>80</v>
      </c>
      <c r="L54" s="115"/>
      <c r="M54" s="115"/>
      <c r="N54" s="115"/>
      <c r="O54" s="115"/>
      <c r="P54" s="79"/>
    </row>
    <row r="55" spans="2:16" ht="16.2">
      <c r="B55" s="79" t="s">
        <v>140</v>
      </c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</row>
    <row r="56" spans="2:16" ht="16.8">
      <c r="B56" s="79" t="s">
        <v>16</v>
      </c>
      <c r="C56" s="158" t="s">
        <v>82</v>
      </c>
      <c r="D56" s="88" t="s">
        <v>8</v>
      </c>
      <c r="E56" s="89">
        <v>2022</v>
      </c>
      <c r="F56" s="80"/>
      <c r="G56" s="79"/>
      <c r="H56" s="79"/>
      <c r="I56" s="79"/>
      <c r="J56" s="79"/>
      <c r="K56" s="79"/>
      <c r="L56" s="79"/>
      <c r="M56" s="79"/>
      <c r="N56" s="79"/>
      <c r="O56" s="79"/>
      <c r="P56" s="79"/>
    </row>
    <row r="57" spans="2:16">
      <c r="B57" s="131" t="s">
        <v>17</v>
      </c>
      <c r="C57" s="131" t="s">
        <v>18</v>
      </c>
      <c r="D57" s="131" t="s">
        <v>19</v>
      </c>
      <c r="E57" s="131" t="s">
        <v>19</v>
      </c>
      <c r="F57" s="132" t="s">
        <v>44</v>
      </c>
      <c r="G57" s="133"/>
      <c r="H57" s="134"/>
      <c r="I57" s="135"/>
      <c r="J57" s="134"/>
      <c r="K57" s="135"/>
      <c r="L57" s="136"/>
      <c r="M57" s="135" t="s">
        <v>85</v>
      </c>
      <c r="N57" s="137" t="s">
        <v>56</v>
      </c>
      <c r="O57" s="138" t="s">
        <v>20</v>
      </c>
      <c r="P57" s="132" t="s">
        <v>47</v>
      </c>
    </row>
    <row r="58" spans="2:16">
      <c r="B58" s="139" t="s">
        <v>21</v>
      </c>
      <c r="C58" s="139" t="s">
        <v>22</v>
      </c>
      <c r="D58" s="139" t="s">
        <v>23</v>
      </c>
      <c r="E58" s="139" t="s">
        <v>24</v>
      </c>
      <c r="F58" s="140" t="s">
        <v>45</v>
      </c>
      <c r="G58" s="81" t="s">
        <v>25</v>
      </c>
      <c r="H58" s="211" t="s">
        <v>26</v>
      </c>
      <c r="I58" s="214"/>
      <c r="J58" s="212" t="s">
        <v>27</v>
      </c>
      <c r="K58" s="215"/>
      <c r="L58" s="216"/>
      <c r="M58" s="141" t="s">
        <v>86</v>
      </c>
      <c r="N58" s="142" t="s">
        <v>57</v>
      </c>
      <c r="O58" s="143" t="s">
        <v>28</v>
      </c>
      <c r="P58" s="140" t="s">
        <v>48</v>
      </c>
    </row>
    <row r="59" spans="2:16">
      <c r="B59" s="144"/>
      <c r="C59" s="144"/>
      <c r="D59" s="144"/>
      <c r="E59" s="144"/>
      <c r="F59" s="145" t="s">
        <v>46</v>
      </c>
      <c r="G59" s="146"/>
      <c r="H59" s="144" t="s">
        <v>29</v>
      </c>
      <c r="I59" s="145" t="s">
        <v>30</v>
      </c>
      <c r="J59" s="144" t="s">
        <v>29</v>
      </c>
      <c r="K59" s="145" t="s">
        <v>30</v>
      </c>
      <c r="L59" s="145" t="s">
        <v>31</v>
      </c>
      <c r="M59" s="212" t="s">
        <v>87</v>
      </c>
      <c r="N59" s="211" t="s">
        <v>58</v>
      </c>
      <c r="O59" s="212"/>
      <c r="P59" s="140" t="s">
        <v>49</v>
      </c>
    </row>
    <row r="60" spans="2:16">
      <c r="B60" s="139">
        <v>1</v>
      </c>
      <c r="C60" s="218">
        <v>44593</v>
      </c>
      <c r="D60" s="177" t="s">
        <v>156</v>
      </c>
      <c r="E60" s="175" t="s">
        <v>144</v>
      </c>
      <c r="F60" s="139"/>
      <c r="G60" s="168" t="s">
        <v>90</v>
      </c>
      <c r="H60" s="139"/>
      <c r="I60" s="140"/>
      <c r="J60" s="227">
        <v>669.81</v>
      </c>
      <c r="K60" s="160"/>
      <c r="L60" s="227">
        <f>J60*13%</f>
        <v>87.075299999999999</v>
      </c>
      <c r="M60" s="161"/>
      <c r="N60" s="157"/>
      <c r="O60" s="227">
        <f t="shared" ref="O60:O67" si="4">+J60+L60+M60</f>
        <v>756.88529999999992</v>
      </c>
      <c r="P60" s="140"/>
    </row>
    <row r="61" spans="2:16">
      <c r="B61" s="139">
        <v>2</v>
      </c>
      <c r="C61" s="199">
        <v>44564</v>
      </c>
      <c r="D61" s="177" t="s">
        <v>157</v>
      </c>
      <c r="E61" s="178" t="s">
        <v>158</v>
      </c>
      <c r="F61" s="139"/>
      <c r="G61" s="173" t="s">
        <v>159</v>
      </c>
      <c r="H61" s="139"/>
      <c r="I61" s="140"/>
      <c r="J61" s="227">
        <v>8.1199999999999992</v>
      </c>
      <c r="K61" s="160"/>
      <c r="L61" s="227">
        <f t="shared" ref="L61:L82" si="5">J61*13%</f>
        <v>1.0555999999999999</v>
      </c>
      <c r="M61" s="161"/>
      <c r="N61" s="157"/>
      <c r="O61" s="227">
        <f t="shared" si="4"/>
        <v>9.1755999999999993</v>
      </c>
      <c r="P61" s="140"/>
    </row>
    <row r="62" spans="2:16">
      <c r="B62" s="139">
        <v>3</v>
      </c>
      <c r="C62" s="199">
        <v>44564</v>
      </c>
      <c r="D62" s="177" t="s">
        <v>160</v>
      </c>
      <c r="E62" s="178" t="s">
        <v>161</v>
      </c>
      <c r="F62" s="139"/>
      <c r="G62" s="208" t="s">
        <v>162</v>
      </c>
      <c r="H62" s="209"/>
      <c r="I62" s="210"/>
      <c r="J62" s="228">
        <v>20.350000000000001</v>
      </c>
      <c r="K62" s="160"/>
      <c r="L62" s="228">
        <f t="shared" si="5"/>
        <v>2.6455000000000002</v>
      </c>
      <c r="M62" s="161"/>
      <c r="N62" s="157"/>
      <c r="O62" s="228">
        <f t="shared" si="4"/>
        <v>22.9955</v>
      </c>
      <c r="P62" s="140"/>
    </row>
    <row r="63" spans="2:16">
      <c r="B63" s="139">
        <v>4</v>
      </c>
      <c r="C63" s="199">
        <v>44565</v>
      </c>
      <c r="D63" s="177" t="s">
        <v>163</v>
      </c>
      <c r="E63" s="178" t="s">
        <v>165</v>
      </c>
      <c r="F63" s="139"/>
      <c r="G63" s="168" t="s">
        <v>98</v>
      </c>
      <c r="H63" s="209"/>
      <c r="I63" s="210"/>
      <c r="J63" s="228">
        <v>96.18</v>
      </c>
      <c r="K63" s="160"/>
      <c r="L63" s="228">
        <f t="shared" si="5"/>
        <v>12.503400000000001</v>
      </c>
      <c r="M63" s="161"/>
      <c r="N63" s="157"/>
      <c r="O63" s="228">
        <f t="shared" si="4"/>
        <v>108.68340000000001</v>
      </c>
      <c r="P63" s="140"/>
    </row>
    <row r="64" spans="2:16">
      <c r="B64" s="139">
        <v>5</v>
      </c>
      <c r="C64" s="199">
        <v>44565</v>
      </c>
      <c r="D64" s="177" t="s">
        <v>164</v>
      </c>
      <c r="E64" s="178" t="s">
        <v>165</v>
      </c>
      <c r="F64" s="139"/>
      <c r="G64" s="168" t="s">
        <v>98</v>
      </c>
      <c r="H64" s="139"/>
      <c r="I64" s="140"/>
      <c r="J64" s="227">
        <v>43.36</v>
      </c>
      <c r="K64" s="160"/>
      <c r="L64" s="227">
        <f t="shared" si="5"/>
        <v>5.6368</v>
      </c>
      <c r="M64" s="161"/>
      <c r="N64" s="157"/>
      <c r="O64" s="227">
        <f t="shared" si="4"/>
        <v>48.9968</v>
      </c>
      <c r="P64" s="140"/>
    </row>
    <row r="65" spans="2:16">
      <c r="B65" s="139">
        <v>6</v>
      </c>
      <c r="C65" s="199">
        <v>44567</v>
      </c>
      <c r="D65" s="177" t="s">
        <v>166</v>
      </c>
      <c r="E65" s="175" t="s">
        <v>149</v>
      </c>
      <c r="F65" s="139"/>
      <c r="G65" s="168" t="s">
        <v>96</v>
      </c>
      <c r="H65" s="139"/>
      <c r="I65" s="140"/>
      <c r="J65" s="227">
        <v>113.88</v>
      </c>
      <c r="K65" s="160"/>
      <c r="L65" s="227">
        <f t="shared" si="5"/>
        <v>14.804399999999999</v>
      </c>
      <c r="M65" s="161"/>
      <c r="N65" s="157"/>
      <c r="O65" s="227">
        <f t="shared" si="4"/>
        <v>128.68439999999998</v>
      </c>
      <c r="P65" s="140"/>
    </row>
    <row r="66" spans="2:16">
      <c r="B66" s="139">
        <v>7</v>
      </c>
      <c r="C66" s="199">
        <v>44568</v>
      </c>
      <c r="D66" s="177" t="s">
        <v>167</v>
      </c>
      <c r="E66" s="178" t="s">
        <v>168</v>
      </c>
      <c r="F66" s="139"/>
      <c r="G66" s="173" t="s">
        <v>92</v>
      </c>
      <c r="H66" s="139"/>
      <c r="I66" s="140"/>
      <c r="J66" s="227">
        <v>55.31</v>
      </c>
      <c r="K66" s="160"/>
      <c r="L66" s="227">
        <f t="shared" si="5"/>
        <v>7.1903000000000006</v>
      </c>
      <c r="M66" s="161"/>
      <c r="N66" s="157"/>
      <c r="O66" s="227">
        <f t="shared" si="4"/>
        <v>62.500300000000003</v>
      </c>
      <c r="P66" s="140"/>
    </row>
    <row r="67" spans="2:16">
      <c r="B67" s="139">
        <v>8</v>
      </c>
      <c r="C67" s="199">
        <v>44571</v>
      </c>
      <c r="D67" s="177" t="s">
        <v>169</v>
      </c>
      <c r="E67" s="178" t="s">
        <v>170</v>
      </c>
      <c r="F67" s="139"/>
      <c r="G67" s="173" t="s">
        <v>171</v>
      </c>
      <c r="H67" s="139"/>
      <c r="I67" s="140"/>
      <c r="J67" s="227">
        <v>26.55</v>
      </c>
      <c r="K67" s="160"/>
      <c r="L67" s="227">
        <f t="shared" si="5"/>
        <v>3.4515000000000002</v>
      </c>
      <c r="M67" s="161"/>
      <c r="N67" s="157"/>
      <c r="O67" s="227">
        <f t="shared" si="4"/>
        <v>30.0015</v>
      </c>
      <c r="P67" s="140"/>
    </row>
    <row r="68" spans="2:16">
      <c r="B68" s="139">
        <v>9</v>
      </c>
      <c r="C68" s="199">
        <v>44571</v>
      </c>
      <c r="D68" s="177" t="s">
        <v>172</v>
      </c>
      <c r="E68" s="178" t="s">
        <v>165</v>
      </c>
      <c r="F68" s="139"/>
      <c r="G68" s="168" t="s">
        <v>98</v>
      </c>
      <c r="H68" s="139"/>
      <c r="I68" s="140"/>
      <c r="J68" s="227">
        <v>50.54</v>
      </c>
      <c r="K68" s="160"/>
      <c r="L68" s="227">
        <f t="shared" si="5"/>
        <v>6.5701999999999998</v>
      </c>
      <c r="M68" s="161"/>
      <c r="N68" s="157"/>
      <c r="O68" s="227">
        <f>+J68+L68+M68+N68</f>
        <v>57.110199999999999</v>
      </c>
      <c r="P68" s="140"/>
    </row>
    <row r="69" spans="2:16">
      <c r="B69" s="139">
        <v>10</v>
      </c>
      <c r="C69" s="199">
        <v>44571</v>
      </c>
      <c r="D69" s="177" t="s">
        <v>173</v>
      </c>
      <c r="E69" s="178" t="s">
        <v>165</v>
      </c>
      <c r="F69" s="139"/>
      <c r="G69" s="168" t="s">
        <v>98</v>
      </c>
      <c r="H69" s="139"/>
      <c r="I69" s="140"/>
      <c r="J69" s="227">
        <v>60.67</v>
      </c>
      <c r="K69" s="160"/>
      <c r="L69" s="227">
        <f t="shared" si="5"/>
        <v>7.8871000000000002</v>
      </c>
      <c r="M69" s="161"/>
      <c r="N69" s="157"/>
      <c r="O69" s="227">
        <f t="shared" ref="O69:O75" si="6">+J69+L69+M69</f>
        <v>68.557100000000005</v>
      </c>
      <c r="P69" s="140"/>
    </row>
    <row r="70" spans="2:16">
      <c r="B70" s="139">
        <v>11</v>
      </c>
      <c r="C70" s="199">
        <v>44572</v>
      </c>
      <c r="D70" s="177" t="s">
        <v>174</v>
      </c>
      <c r="E70" s="178" t="s">
        <v>175</v>
      </c>
      <c r="F70" s="139"/>
      <c r="G70" s="208" t="s">
        <v>103</v>
      </c>
      <c r="H70" s="209"/>
      <c r="I70" s="210"/>
      <c r="J70" s="228">
        <v>8.1300000000000008</v>
      </c>
      <c r="K70" s="160"/>
      <c r="L70" s="228">
        <f t="shared" si="5"/>
        <v>1.0569000000000002</v>
      </c>
      <c r="M70" s="161"/>
      <c r="N70" s="157"/>
      <c r="O70" s="228">
        <f t="shared" si="6"/>
        <v>9.1869000000000014</v>
      </c>
      <c r="P70" s="140"/>
    </row>
    <row r="71" spans="2:16">
      <c r="B71" s="139">
        <v>12</v>
      </c>
      <c r="C71" s="199">
        <v>44578</v>
      </c>
      <c r="D71" s="177" t="s">
        <v>177</v>
      </c>
      <c r="E71" s="205" t="s">
        <v>176</v>
      </c>
      <c r="F71" s="139"/>
      <c r="G71" s="217" t="s">
        <v>105</v>
      </c>
      <c r="H71" s="209"/>
      <c r="I71" s="140"/>
      <c r="J71" s="227">
        <v>16.3</v>
      </c>
      <c r="K71" s="160"/>
      <c r="L71" s="227">
        <f t="shared" si="5"/>
        <v>2.1190000000000002</v>
      </c>
      <c r="M71" s="161"/>
      <c r="N71" s="157"/>
      <c r="O71" s="227">
        <f t="shared" si="6"/>
        <v>18.419</v>
      </c>
      <c r="P71" s="140"/>
    </row>
    <row r="72" spans="2:16">
      <c r="B72" s="139">
        <v>13</v>
      </c>
      <c r="C72" s="199">
        <v>44580</v>
      </c>
      <c r="D72" s="177" t="s">
        <v>178</v>
      </c>
      <c r="E72" s="178" t="s">
        <v>179</v>
      </c>
      <c r="F72" s="139"/>
      <c r="G72" s="173" t="s">
        <v>100</v>
      </c>
      <c r="H72" s="139"/>
      <c r="I72" s="140"/>
      <c r="J72" s="227">
        <v>10.93</v>
      </c>
      <c r="K72" s="160"/>
      <c r="L72" s="227">
        <f t="shared" si="5"/>
        <v>1.4209000000000001</v>
      </c>
      <c r="M72" s="161"/>
      <c r="N72" s="157"/>
      <c r="O72" s="227">
        <f t="shared" si="6"/>
        <v>12.350899999999999</v>
      </c>
      <c r="P72" s="140"/>
    </row>
    <row r="73" spans="2:16">
      <c r="B73" s="139">
        <v>14</v>
      </c>
      <c r="C73" s="199">
        <v>44581</v>
      </c>
      <c r="D73" s="177" t="s">
        <v>180</v>
      </c>
      <c r="E73" s="205" t="s">
        <v>181</v>
      </c>
      <c r="F73" s="139"/>
      <c r="G73" s="217" t="s">
        <v>94</v>
      </c>
      <c r="H73" s="209"/>
      <c r="I73" s="210"/>
      <c r="J73" s="228">
        <v>4.51</v>
      </c>
      <c r="K73" s="160"/>
      <c r="L73" s="228">
        <f t="shared" si="5"/>
        <v>0.58630000000000004</v>
      </c>
      <c r="M73" s="161"/>
      <c r="N73" s="157"/>
      <c r="O73" s="228">
        <f t="shared" si="6"/>
        <v>5.0962999999999994</v>
      </c>
      <c r="P73" s="140"/>
    </row>
    <row r="74" spans="2:16">
      <c r="B74" s="139">
        <v>15</v>
      </c>
      <c r="C74" s="199">
        <v>44581</v>
      </c>
      <c r="D74" s="177" t="s">
        <v>182</v>
      </c>
      <c r="E74" s="178" t="s">
        <v>183</v>
      </c>
      <c r="F74" s="139"/>
      <c r="G74" s="173" t="s">
        <v>119</v>
      </c>
      <c r="H74" s="139"/>
      <c r="I74" s="140"/>
      <c r="J74" s="227">
        <v>16.329999999999998</v>
      </c>
      <c r="K74" s="160"/>
      <c r="L74" s="227">
        <f t="shared" si="5"/>
        <v>2.1229</v>
      </c>
      <c r="M74" s="161"/>
      <c r="N74" s="157"/>
      <c r="O74" s="227">
        <f t="shared" si="6"/>
        <v>18.4529</v>
      </c>
      <c r="P74" s="140"/>
    </row>
    <row r="75" spans="2:16">
      <c r="B75" s="139">
        <v>16</v>
      </c>
      <c r="C75" s="199">
        <v>44581</v>
      </c>
      <c r="D75" s="177" t="s">
        <v>184</v>
      </c>
      <c r="E75" s="178" t="s">
        <v>165</v>
      </c>
      <c r="F75" s="139"/>
      <c r="G75" s="168" t="s">
        <v>98</v>
      </c>
      <c r="H75" s="139"/>
      <c r="I75" s="140"/>
      <c r="J75" s="227">
        <v>65.02</v>
      </c>
      <c r="K75" s="160"/>
      <c r="L75" s="227">
        <f t="shared" si="5"/>
        <v>8.4526000000000003</v>
      </c>
      <c r="M75" s="161"/>
      <c r="N75" s="157"/>
      <c r="O75" s="227">
        <f t="shared" si="6"/>
        <v>73.4726</v>
      </c>
      <c r="P75" s="140"/>
    </row>
    <row r="76" spans="2:16">
      <c r="B76" s="139">
        <v>17</v>
      </c>
      <c r="C76" s="199">
        <v>44585</v>
      </c>
      <c r="D76" s="177" t="s">
        <v>185</v>
      </c>
      <c r="E76" s="178" t="s">
        <v>165</v>
      </c>
      <c r="F76" s="139"/>
      <c r="G76" s="168" t="s">
        <v>98</v>
      </c>
      <c r="H76" s="139"/>
      <c r="I76" s="140"/>
      <c r="J76" s="227">
        <v>149.32</v>
      </c>
      <c r="K76" s="160"/>
      <c r="L76" s="227">
        <f t="shared" si="5"/>
        <v>19.4116</v>
      </c>
      <c r="M76" s="161"/>
      <c r="N76" s="157"/>
      <c r="O76" s="227">
        <f>+J76+L76+M76+N76</f>
        <v>168.73159999999999</v>
      </c>
      <c r="P76" s="140"/>
    </row>
    <row r="77" spans="2:16">
      <c r="B77" s="139">
        <v>18</v>
      </c>
      <c r="C77" s="199">
        <v>44585</v>
      </c>
      <c r="D77" s="177" t="s">
        <v>186</v>
      </c>
      <c r="E77" s="178" t="s">
        <v>165</v>
      </c>
      <c r="F77" s="139"/>
      <c r="G77" s="168" t="s">
        <v>98</v>
      </c>
      <c r="H77" s="139"/>
      <c r="I77" s="140"/>
      <c r="J77" s="227">
        <v>3.54</v>
      </c>
      <c r="K77" s="160"/>
      <c r="L77" s="227">
        <f t="shared" si="5"/>
        <v>0.4602</v>
      </c>
      <c r="M77" s="161"/>
      <c r="N77" s="157"/>
      <c r="O77" s="227">
        <f t="shared" ref="O77:O82" si="7">+J77+L77+M77+N77</f>
        <v>4.0002000000000004</v>
      </c>
      <c r="P77" s="140"/>
    </row>
    <row r="78" spans="2:16">
      <c r="B78" s="139">
        <v>19</v>
      </c>
      <c r="C78" s="199">
        <v>44585</v>
      </c>
      <c r="D78" s="177" t="s">
        <v>187</v>
      </c>
      <c r="E78" s="178" t="s">
        <v>188</v>
      </c>
      <c r="F78" s="139"/>
      <c r="G78" s="208" t="s">
        <v>189</v>
      </c>
      <c r="H78" s="139"/>
      <c r="I78" s="140"/>
      <c r="J78" s="227">
        <v>28.42</v>
      </c>
      <c r="K78" s="160"/>
      <c r="L78" s="227">
        <f t="shared" si="5"/>
        <v>3.6946000000000003</v>
      </c>
      <c r="M78" s="161"/>
      <c r="N78" s="157"/>
      <c r="O78" s="227">
        <f t="shared" si="7"/>
        <v>32.114600000000003</v>
      </c>
      <c r="P78" s="140"/>
    </row>
    <row r="79" spans="2:16">
      <c r="B79" s="139">
        <v>20</v>
      </c>
      <c r="C79" s="199">
        <v>44585</v>
      </c>
      <c r="D79" s="177" t="s">
        <v>190</v>
      </c>
      <c r="E79" s="178" t="s">
        <v>165</v>
      </c>
      <c r="F79" s="139"/>
      <c r="G79" s="168" t="s">
        <v>98</v>
      </c>
      <c r="H79" s="139"/>
      <c r="I79" s="140"/>
      <c r="J79" s="227">
        <v>34.39</v>
      </c>
      <c r="K79" s="160"/>
      <c r="L79" s="227">
        <f t="shared" si="5"/>
        <v>4.4706999999999999</v>
      </c>
      <c r="M79" s="161"/>
      <c r="N79" s="157"/>
      <c r="O79" s="227">
        <f t="shared" si="7"/>
        <v>38.860700000000001</v>
      </c>
      <c r="P79" s="140"/>
    </row>
    <row r="80" spans="2:16">
      <c r="B80" s="139">
        <v>21</v>
      </c>
      <c r="C80" s="199">
        <v>44590</v>
      </c>
      <c r="D80" s="177" t="s">
        <v>191</v>
      </c>
      <c r="E80" s="178" t="s">
        <v>179</v>
      </c>
      <c r="F80" s="139"/>
      <c r="G80" s="173" t="s">
        <v>100</v>
      </c>
      <c r="H80" s="139"/>
      <c r="I80" s="140"/>
      <c r="J80" s="227">
        <v>83.53</v>
      </c>
      <c r="K80" s="160"/>
      <c r="L80" s="227">
        <f t="shared" si="5"/>
        <v>10.8589</v>
      </c>
      <c r="M80" s="161"/>
      <c r="N80" s="157"/>
      <c r="O80" s="227">
        <f t="shared" si="7"/>
        <v>94.388900000000007</v>
      </c>
      <c r="P80" s="140"/>
    </row>
    <row r="81" spans="2:16">
      <c r="B81" s="139">
        <v>22</v>
      </c>
      <c r="C81" s="199">
        <v>44592</v>
      </c>
      <c r="D81" s="177" t="s">
        <v>193</v>
      </c>
      <c r="E81" s="178" t="s">
        <v>192</v>
      </c>
      <c r="F81" s="139"/>
      <c r="G81" s="168" t="s">
        <v>96</v>
      </c>
      <c r="H81" s="139"/>
      <c r="I81" s="140"/>
      <c r="J81" s="229">
        <v>203.33</v>
      </c>
      <c r="K81" s="160"/>
      <c r="L81" s="229">
        <f t="shared" si="5"/>
        <v>26.432900000000004</v>
      </c>
      <c r="M81" s="161"/>
      <c r="N81" s="157"/>
      <c r="O81" s="229">
        <f t="shared" si="7"/>
        <v>229.7629</v>
      </c>
      <c r="P81" s="140"/>
    </row>
    <row r="82" spans="2:16">
      <c r="B82" s="139">
        <v>23</v>
      </c>
      <c r="C82" s="199">
        <v>44592</v>
      </c>
      <c r="D82" s="203" t="s">
        <v>194</v>
      </c>
      <c r="E82" s="178" t="s">
        <v>165</v>
      </c>
      <c r="F82" s="139"/>
      <c r="G82" s="168" t="s">
        <v>98</v>
      </c>
      <c r="H82" s="139"/>
      <c r="I82" s="140"/>
      <c r="J82" s="229">
        <v>47.42</v>
      </c>
      <c r="K82" s="160"/>
      <c r="L82" s="229">
        <f t="shared" si="5"/>
        <v>6.1646000000000001</v>
      </c>
      <c r="M82" s="161"/>
      <c r="N82" s="157"/>
      <c r="O82" s="229">
        <f t="shared" si="7"/>
        <v>53.584600000000002</v>
      </c>
      <c r="P82" s="140"/>
    </row>
    <row r="83" spans="2:16">
      <c r="B83" s="139">
        <v>24</v>
      </c>
      <c r="C83" s="199">
        <v>44592</v>
      </c>
      <c r="D83" s="203" t="s">
        <v>195</v>
      </c>
      <c r="E83" s="178" t="s">
        <v>165</v>
      </c>
      <c r="F83" s="139"/>
      <c r="G83" s="168" t="s">
        <v>98</v>
      </c>
      <c r="H83" s="139"/>
      <c r="I83" s="140"/>
      <c r="J83" s="229">
        <v>74.94</v>
      </c>
      <c r="K83" s="160"/>
      <c r="L83" s="229">
        <f t="shared" ref="L83" si="8">J83*13%</f>
        <v>9.7422000000000004</v>
      </c>
      <c r="M83" s="161"/>
      <c r="N83" s="157"/>
      <c r="O83" s="229">
        <f t="shared" ref="O83" si="9">+J83+L83+M83+N83</f>
        <v>84.682199999999995</v>
      </c>
      <c r="P83" s="140"/>
    </row>
    <row r="84" spans="2:16">
      <c r="B84" s="139"/>
      <c r="C84" s="225"/>
      <c r="D84" s="203"/>
      <c r="E84" s="205"/>
      <c r="F84" s="139"/>
      <c r="G84" s="226"/>
      <c r="H84" s="139"/>
      <c r="I84" s="140"/>
      <c r="J84" s="204"/>
      <c r="K84" s="160"/>
      <c r="L84" s="204"/>
      <c r="M84" s="161"/>
      <c r="N84" s="157"/>
      <c r="O84" s="22"/>
      <c r="P84" s="140"/>
    </row>
    <row r="85" spans="2:16">
      <c r="B85" s="128"/>
      <c r="C85" s="129"/>
      <c r="D85" s="125"/>
      <c r="E85" s="125"/>
      <c r="F85" s="125"/>
      <c r="G85" s="149" t="s">
        <v>88</v>
      </c>
      <c r="H85" s="130"/>
      <c r="I85" s="130"/>
      <c r="J85" s="230">
        <f>SUM(J60:J83)</f>
        <v>1890.88</v>
      </c>
      <c r="K85" s="230"/>
      <c r="L85" s="230">
        <f>SUM(L60:L83)</f>
        <v>245.81439999999995</v>
      </c>
      <c r="M85" s="230">
        <f>SUM(M60:M69)</f>
        <v>0</v>
      </c>
      <c r="N85" s="230">
        <f>SUM(N60:N80)</f>
        <v>0</v>
      </c>
      <c r="O85" s="230">
        <f>SUM(O60:O83)</f>
        <v>2136.6943999999999</v>
      </c>
      <c r="P85" s="130"/>
    </row>
    <row r="86" spans="2:16">
      <c r="L86" s="164"/>
    </row>
    <row r="87" spans="2:16" ht="15.6">
      <c r="B87" s="147" t="s">
        <v>11</v>
      </c>
      <c r="C87" s="147"/>
      <c r="D87" s="147"/>
      <c r="I87" s="213"/>
      <c r="L87" s="103"/>
      <c r="O87" s="103"/>
      <c r="P87" s="103"/>
    </row>
    <row r="88" spans="2:16" ht="17.399999999999999">
      <c r="B88" s="90" t="s">
        <v>84</v>
      </c>
      <c r="C88" s="83"/>
      <c r="D88" s="83"/>
      <c r="I88" s="47"/>
      <c r="J88" s="206"/>
      <c r="L88" s="103"/>
    </row>
    <row r="89" spans="2:16" ht="15.6">
      <c r="B89" s="83" t="s">
        <v>12</v>
      </c>
      <c r="L89" s="103"/>
    </row>
    <row r="98" spans="2:16" ht="16.2">
      <c r="B98" s="87" t="s">
        <v>15</v>
      </c>
      <c r="C98" s="79"/>
      <c r="D98" s="148" t="s">
        <v>139</v>
      </c>
      <c r="E98" s="79"/>
      <c r="F98" s="79"/>
      <c r="G98" s="79"/>
      <c r="H98" s="115"/>
      <c r="I98" s="115"/>
      <c r="J98" s="115"/>
      <c r="K98" s="162" t="s">
        <v>80</v>
      </c>
      <c r="L98" s="115"/>
      <c r="M98" s="115"/>
      <c r="N98" s="115"/>
      <c r="O98" s="115"/>
      <c r="P98" s="79"/>
    </row>
    <row r="99" spans="2:16" ht="16.2">
      <c r="B99" s="79" t="s">
        <v>140</v>
      </c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</row>
    <row r="100" spans="2:16" ht="16.8">
      <c r="B100" s="79" t="s">
        <v>16</v>
      </c>
      <c r="C100" s="158" t="s">
        <v>43</v>
      </c>
      <c r="D100" s="88" t="s">
        <v>8</v>
      </c>
      <c r="E100" s="80">
        <v>2022</v>
      </c>
      <c r="F100" s="80"/>
      <c r="G100" s="79"/>
      <c r="H100" s="79"/>
      <c r="I100" s="79"/>
      <c r="J100" s="79"/>
      <c r="K100" s="79"/>
      <c r="L100" s="79"/>
      <c r="M100" s="79"/>
      <c r="N100" s="79"/>
      <c r="O100" s="79"/>
      <c r="P100" s="79"/>
    </row>
    <row r="101" spans="2:16">
      <c r="B101" s="131" t="s">
        <v>17</v>
      </c>
      <c r="C101" s="131" t="s">
        <v>18</v>
      </c>
      <c r="D101" s="131" t="s">
        <v>19</v>
      </c>
      <c r="E101" s="131" t="s">
        <v>19</v>
      </c>
      <c r="F101" s="132" t="s">
        <v>44</v>
      </c>
      <c r="G101" s="133"/>
      <c r="H101" s="134"/>
      <c r="I101" s="135"/>
      <c r="J101" s="134"/>
      <c r="K101" s="135"/>
      <c r="L101" s="136"/>
      <c r="M101" s="135" t="s">
        <v>85</v>
      </c>
      <c r="N101" s="137" t="s">
        <v>56</v>
      </c>
      <c r="O101" s="138" t="s">
        <v>20</v>
      </c>
      <c r="P101" s="132" t="s">
        <v>47</v>
      </c>
    </row>
    <row r="102" spans="2:16">
      <c r="B102" s="139" t="s">
        <v>21</v>
      </c>
      <c r="C102" s="139" t="s">
        <v>22</v>
      </c>
      <c r="D102" s="139" t="s">
        <v>23</v>
      </c>
      <c r="E102" s="139" t="s">
        <v>24</v>
      </c>
      <c r="F102" s="140" t="s">
        <v>45</v>
      </c>
      <c r="G102" s="81" t="s">
        <v>25</v>
      </c>
      <c r="H102" s="211" t="s">
        <v>26</v>
      </c>
      <c r="I102" s="214"/>
      <c r="J102" s="212" t="s">
        <v>27</v>
      </c>
      <c r="K102" s="215"/>
      <c r="L102" s="216"/>
      <c r="M102" s="141" t="s">
        <v>86</v>
      </c>
      <c r="N102" s="142" t="s">
        <v>57</v>
      </c>
      <c r="O102" s="143" t="s">
        <v>28</v>
      </c>
      <c r="P102" s="140" t="s">
        <v>48</v>
      </c>
    </row>
    <row r="103" spans="2:16">
      <c r="B103" s="144"/>
      <c r="C103" s="144"/>
      <c r="D103" s="144"/>
      <c r="E103" s="144"/>
      <c r="F103" s="145" t="s">
        <v>46</v>
      </c>
      <c r="G103" s="146"/>
      <c r="H103" s="144" t="s">
        <v>29</v>
      </c>
      <c r="I103" s="145" t="s">
        <v>30</v>
      </c>
      <c r="J103" s="144" t="s">
        <v>29</v>
      </c>
      <c r="K103" s="145" t="s">
        <v>30</v>
      </c>
      <c r="L103" s="145" t="s">
        <v>31</v>
      </c>
      <c r="M103" s="212" t="s">
        <v>87</v>
      </c>
      <c r="N103" s="211" t="s">
        <v>58</v>
      </c>
      <c r="O103" s="212"/>
      <c r="P103" s="140" t="s">
        <v>49</v>
      </c>
    </row>
    <row r="104" spans="2:16">
      <c r="B104" s="139">
        <v>1</v>
      </c>
      <c r="C104" s="218">
        <v>44532</v>
      </c>
      <c r="D104" s="177" t="s">
        <v>196</v>
      </c>
      <c r="E104" s="175" t="s">
        <v>197</v>
      </c>
      <c r="F104" s="139"/>
      <c r="G104" s="168" t="s">
        <v>90</v>
      </c>
      <c r="H104" s="139"/>
      <c r="I104" s="140"/>
      <c r="J104" s="227">
        <v>622.88</v>
      </c>
      <c r="K104" s="160"/>
      <c r="L104" s="229">
        <f t="shared" ref="L104:L129" si="10">J104*13%</f>
        <v>80.974400000000003</v>
      </c>
      <c r="M104" s="161"/>
      <c r="N104" s="157"/>
      <c r="O104" s="227">
        <f t="shared" ref="O104:O112" si="11">+J104+L104+M104</f>
        <v>703.85439999999994</v>
      </c>
      <c r="P104" s="140"/>
    </row>
    <row r="105" spans="2:16">
      <c r="B105" s="139">
        <v>2</v>
      </c>
      <c r="C105" s="232">
        <v>44579</v>
      </c>
      <c r="D105" s="177" t="s">
        <v>228</v>
      </c>
      <c r="E105" s="178" t="s">
        <v>179</v>
      </c>
      <c r="F105" s="139"/>
      <c r="G105" s="173" t="s">
        <v>100</v>
      </c>
      <c r="H105" s="139"/>
      <c r="I105" s="140"/>
      <c r="J105" s="227">
        <v>136.69</v>
      </c>
      <c r="K105" s="160"/>
      <c r="L105" s="229">
        <f t="shared" si="10"/>
        <v>17.7697</v>
      </c>
      <c r="M105" s="161"/>
      <c r="N105" s="157"/>
      <c r="O105" s="227"/>
      <c r="P105" s="140"/>
    </row>
    <row r="106" spans="2:16">
      <c r="B106" s="139">
        <v>3</v>
      </c>
      <c r="C106" s="199">
        <v>44594</v>
      </c>
      <c r="D106" s="177" t="s">
        <v>198</v>
      </c>
      <c r="E106" s="175" t="s">
        <v>192</v>
      </c>
      <c r="F106" s="139"/>
      <c r="G106" s="168" t="s">
        <v>96</v>
      </c>
      <c r="H106" s="139"/>
      <c r="I106" s="140"/>
      <c r="J106" s="227">
        <v>101.07</v>
      </c>
      <c r="K106" s="160"/>
      <c r="L106" s="229">
        <f t="shared" si="10"/>
        <v>13.139099999999999</v>
      </c>
      <c r="M106" s="161"/>
      <c r="N106" s="157"/>
      <c r="O106" s="227">
        <f t="shared" si="11"/>
        <v>114.20909999999999</v>
      </c>
      <c r="P106" s="140"/>
    </row>
    <row r="107" spans="2:16">
      <c r="B107" s="139">
        <v>4</v>
      </c>
      <c r="C107" s="199">
        <v>44595</v>
      </c>
      <c r="D107" s="177" t="s">
        <v>199</v>
      </c>
      <c r="E107" s="175" t="s">
        <v>200</v>
      </c>
      <c r="F107" s="139"/>
      <c r="G107" s="208" t="s">
        <v>97</v>
      </c>
      <c r="H107" s="209"/>
      <c r="I107" s="210"/>
      <c r="J107" s="228">
        <v>16.3</v>
      </c>
      <c r="K107" s="240"/>
      <c r="L107" s="239">
        <f t="shared" si="10"/>
        <v>2.1190000000000002</v>
      </c>
      <c r="M107" s="161"/>
      <c r="N107" s="157"/>
      <c r="O107" s="228">
        <f t="shared" si="11"/>
        <v>18.419</v>
      </c>
      <c r="P107" s="140"/>
    </row>
    <row r="108" spans="2:16">
      <c r="B108" s="139">
        <v>5</v>
      </c>
      <c r="C108" s="199">
        <v>44597</v>
      </c>
      <c r="D108" s="177" t="s">
        <v>201</v>
      </c>
      <c r="E108" s="178" t="s">
        <v>179</v>
      </c>
      <c r="F108" s="139"/>
      <c r="G108" s="173" t="s">
        <v>100</v>
      </c>
      <c r="H108" s="209"/>
      <c r="I108" s="210"/>
      <c r="J108" s="227">
        <v>17.149999999999999</v>
      </c>
      <c r="K108" s="160"/>
      <c r="L108" s="229">
        <f t="shared" si="10"/>
        <v>2.2294999999999998</v>
      </c>
      <c r="M108" s="161"/>
      <c r="N108" s="157"/>
      <c r="O108" s="228">
        <f t="shared" si="11"/>
        <v>19.3795</v>
      </c>
      <c r="P108" s="140"/>
    </row>
    <row r="109" spans="2:16">
      <c r="B109" s="139">
        <v>6</v>
      </c>
      <c r="C109" s="199">
        <v>44599</v>
      </c>
      <c r="D109" s="177" t="s">
        <v>202</v>
      </c>
      <c r="E109" s="178" t="s">
        <v>170</v>
      </c>
      <c r="F109" s="139"/>
      <c r="G109" s="173" t="s">
        <v>171</v>
      </c>
      <c r="H109" s="139"/>
      <c r="I109" s="140"/>
      <c r="J109" s="227">
        <v>26.55</v>
      </c>
      <c r="K109" s="160"/>
      <c r="L109" s="229">
        <f t="shared" si="10"/>
        <v>3.4515000000000002</v>
      </c>
      <c r="M109" s="161"/>
      <c r="N109" s="157"/>
      <c r="O109" s="227">
        <f t="shared" si="11"/>
        <v>30.0015</v>
      </c>
      <c r="P109" s="140"/>
    </row>
    <row r="110" spans="2:16">
      <c r="B110" s="139">
        <v>7</v>
      </c>
      <c r="C110" s="199">
        <v>44599</v>
      </c>
      <c r="D110" s="177" t="s">
        <v>203</v>
      </c>
      <c r="E110" s="178" t="s">
        <v>204</v>
      </c>
      <c r="F110" s="139"/>
      <c r="G110" s="208" t="s">
        <v>99</v>
      </c>
      <c r="H110" s="139"/>
      <c r="I110" s="140"/>
      <c r="J110" s="228">
        <v>8.18</v>
      </c>
      <c r="K110" s="240"/>
      <c r="L110" s="239">
        <f t="shared" si="10"/>
        <v>1.0633999999999999</v>
      </c>
      <c r="M110" s="161"/>
      <c r="N110" s="157"/>
      <c r="O110" s="227">
        <f t="shared" si="11"/>
        <v>9.2433999999999994</v>
      </c>
      <c r="P110" s="140"/>
    </row>
    <row r="111" spans="2:16">
      <c r="B111" s="139">
        <v>8</v>
      </c>
      <c r="C111" s="199">
        <v>44599</v>
      </c>
      <c r="D111" s="177" t="s">
        <v>205</v>
      </c>
      <c r="E111" s="178" t="s">
        <v>165</v>
      </c>
      <c r="F111" s="139"/>
      <c r="G111" s="168" t="s">
        <v>98</v>
      </c>
      <c r="H111" s="139"/>
      <c r="I111" s="140"/>
      <c r="J111" s="227">
        <v>51.55</v>
      </c>
      <c r="K111" s="160"/>
      <c r="L111" s="229">
        <f t="shared" si="10"/>
        <v>6.7015000000000002</v>
      </c>
      <c r="M111" s="161"/>
      <c r="N111" s="157"/>
      <c r="O111" s="227">
        <f t="shared" si="11"/>
        <v>58.2515</v>
      </c>
      <c r="P111" s="140"/>
    </row>
    <row r="112" spans="2:16">
      <c r="B112" s="139">
        <v>9</v>
      </c>
      <c r="C112" s="199">
        <v>44604</v>
      </c>
      <c r="D112" s="177" t="s">
        <v>206</v>
      </c>
      <c r="E112" s="231" t="s">
        <v>168</v>
      </c>
      <c r="F112" s="139"/>
      <c r="G112" s="169" t="s">
        <v>92</v>
      </c>
      <c r="H112" s="139"/>
      <c r="I112" s="140"/>
      <c r="J112" s="227">
        <v>115.04</v>
      </c>
      <c r="K112" s="160"/>
      <c r="L112" s="229">
        <f t="shared" si="10"/>
        <v>14.955200000000001</v>
      </c>
      <c r="M112" s="161"/>
      <c r="N112" s="157"/>
      <c r="O112" s="227">
        <f t="shared" si="11"/>
        <v>129.99520000000001</v>
      </c>
      <c r="P112" s="140"/>
    </row>
    <row r="113" spans="2:16">
      <c r="B113" s="139">
        <v>10</v>
      </c>
      <c r="C113" s="199">
        <v>44606</v>
      </c>
      <c r="D113" s="177" t="s">
        <v>207</v>
      </c>
      <c r="E113" s="205" t="s">
        <v>176</v>
      </c>
      <c r="F113" s="139"/>
      <c r="G113" s="217" t="s">
        <v>105</v>
      </c>
      <c r="H113" s="139"/>
      <c r="I113" s="140"/>
      <c r="J113" s="228">
        <v>16.39</v>
      </c>
      <c r="K113" s="240"/>
      <c r="L113" s="239">
        <f t="shared" si="10"/>
        <v>2.1307</v>
      </c>
      <c r="M113" s="161"/>
      <c r="N113" s="157"/>
      <c r="O113" s="227">
        <f>+J113+L113+M113+N113</f>
        <v>18.520700000000001</v>
      </c>
      <c r="P113" s="140"/>
    </row>
    <row r="114" spans="2:16">
      <c r="B114" s="139">
        <v>11</v>
      </c>
      <c r="C114" s="199">
        <v>44606</v>
      </c>
      <c r="D114" s="177" t="s">
        <v>208</v>
      </c>
      <c r="E114" s="178" t="s">
        <v>165</v>
      </c>
      <c r="F114" s="139"/>
      <c r="G114" s="168" t="s">
        <v>98</v>
      </c>
      <c r="H114" s="139"/>
      <c r="I114" s="140"/>
      <c r="J114" s="227">
        <v>98.81</v>
      </c>
      <c r="K114" s="160"/>
      <c r="L114" s="229">
        <f t="shared" si="10"/>
        <v>12.8453</v>
      </c>
      <c r="M114" s="161"/>
      <c r="N114" s="157"/>
      <c r="O114" s="227">
        <f t="shared" ref="O114:O120" si="12">+J114+L114+M114</f>
        <v>111.6553</v>
      </c>
      <c r="P114" s="140"/>
    </row>
    <row r="115" spans="2:16">
      <c r="B115" s="139">
        <v>12</v>
      </c>
      <c r="C115" s="199">
        <v>44606</v>
      </c>
      <c r="D115" s="177" t="s">
        <v>209</v>
      </c>
      <c r="E115" s="178" t="s">
        <v>165</v>
      </c>
      <c r="F115" s="139"/>
      <c r="G115" s="168" t="s">
        <v>98</v>
      </c>
      <c r="H115" s="209"/>
      <c r="I115" s="210"/>
      <c r="J115" s="227">
        <v>3.22</v>
      </c>
      <c r="K115" s="160"/>
      <c r="L115" s="229">
        <f t="shared" si="10"/>
        <v>0.41860000000000003</v>
      </c>
      <c r="M115" s="161"/>
      <c r="N115" s="157"/>
      <c r="O115" s="228">
        <f t="shared" si="12"/>
        <v>3.6386000000000003</v>
      </c>
      <c r="P115" s="140"/>
    </row>
    <row r="116" spans="2:16">
      <c r="B116" s="139">
        <v>13</v>
      </c>
      <c r="C116" s="199">
        <v>44606</v>
      </c>
      <c r="D116" s="177" t="s">
        <v>210</v>
      </c>
      <c r="E116" s="178" t="s">
        <v>175</v>
      </c>
      <c r="F116" s="139"/>
      <c r="G116" s="208" t="s">
        <v>103</v>
      </c>
      <c r="H116" s="209"/>
      <c r="I116" s="210"/>
      <c r="J116" s="228">
        <v>16.37</v>
      </c>
      <c r="K116" s="240"/>
      <c r="L116" s="239">
        <f t="shared" si="10"/>
        <v>2.1281000000000003</v>
      </c>
      <c r="M116" s="161"/>
      <c r="N116" s="157"/>
      <c r="O116" s="227">
        <f t="shared" si="12"/>
        <v>18.498100000000001</v>
      </c>
      <c r="P116" s="140"/>
    </row>
    <row r="117" spans="2:16">
      <c r="B117" s="139">
        <v>14</v>
      </c>
      <c r="C117" s="199">
        <v>44606</v>
      </c>
      <c r="D117" s="177" t="s">
        <v>211</v>
      </c>
      <c r="E117" s="178" t="s">
        <v>204</v>
      </c>
      <c r="F117" s="139"/>
      <c r="G117" s="208" t="s">
        <v>99</v>
      </c>
      <c r="H117" s="209"/>
      <c r="I117" s="210"/>
      <c r="J117" s="228">
        <v>8.19</v>
      </c>
      <c r="K117" s="240"/>
      <c r="L117" s="239">
        <f t="shared" si="10"/>
        <v>1.0647</v>
      </c>
      <c r="M117" s="161"/>
      <c r="N117" s="157"/>
      <c r="O117" s="227">
        <f t="shared" si="12"/>
        <v>9.2546999999999997</v>
      </c>
      <c r="P117" s="140"/>
    </row>
    <row r="118" spans="2:16">
      <c r="B118" s="139">
        <v>15</v>
      </c>
      <c r="C118" s="199">
        <v>44611</v>
      </c>
      <c r="D118" s="177" t="s">
        <v>212</v>
      </c>
      <c r="E118" s="178" t="s">
        <v>181</v>
      </c>
      <c r="F118" s="139"/>
      <c r="G118" s="173" t="s">
        <v>94</v>
      </c>
      <c r="H118" s="139"/>
      <c r="I118" s="140"/>
      <c r="J118" s="227">
        <v>15.89</v>
      </c>
      <c r="K118" s="160"/>
      <c r="L118" s="229">
        <f t="shared" si="10"/>
        <v>2.0657000000000001</v>
      </c>
      <c r="M118" s="161"/>
      <c r="N118" s="157"/>
      <c r="O118" s="228">
        <f t="shared" si="12"/>
        <v>17.9557</v>
      </c>
      <c r="P118" s="140"/>
    </row>
    <row r="119" spans="2:16">
      <c r="B119" s="139">
        <v>16</v>
      </c>
      <c r="C119" s="199">
        <v>44611</v>
      </c>
      <c r="D119" s="177" t="s">
        <v>213</v>
      </c>
      <c r="E119" s="231" t="s">
        <v>168</v>
      </c>
      <c r="F119" s="139"/>
      <c r="G119" s="169" t="s">
        <v>92</v>
      </c>
      <c r="H119" s="139"/>
      <c r="I119" s="140"/>
      <c r="J119" s="227">
        <v>20.309999999999999</v>
      </c>
      <c r="K119" s="160"/>
      <c r="L119" s="229">
        <f t="shared" si="10"/>
        <v>2.6402999999999999</v>
      </c>
      <c r="M119" s="161"/>
      <c r="N119" s="157"/>
      <c r="O119" s="227">
        <f t="shared" si="12"/>
        <v>22.950299999999999</v>
      </c>
      <c r="P119" s="140"/>
    </row>
    <row r="120" spans="2:16">
      <c r="B120" s="139">
        <v>17</v>
      </c>
      <c r="C120" s="199">
        <v>44613</v>
      </c>
      <c r="D120" s="177" t="s">
        <v>214</v>
      </c>
      <c r="E120" s="178" t="s">
        <v>165</v>
      </c>
      <c r="F120" s="139"/>
      <c r="G120" s="168" t="s">
        <v>98</v>
      </c>
      <c r="H120" s="139"/>
      <c r="I120" s="140"/>
      <c r="J120" s="227">
        <v>14.96</v>
      </c>
      <c r="K120" s="160"/>
      <c r="L120" s="229">
        <f t="shared" si="10"/>
        <v>1.9448000000000001</v>
      </c>
      <c r="M120" s="161"/>
      <c r="N120" s="157"/>
      <c r="O120" s="227">
        <f t="shared" si="12"/>
        <v>16.904800000000002</v>
      </c>
      <c r="P120" s="140"/>
    </row>
    <row r="121" spans="2:16">
      <c r="B121" s="139">
        <v>18</v>
      </c>
      <c r="C121" s="199">
        <v>44613</v>
      </c>
      <c r="D121" s="177" t="s">
        <v>215</v>
      </c>
      <c r="E121" s="178" t="s">
        <v>165</v>
      </c>
      <c r="F121" s="139"/>
      <c r="G121" s="168" t="s">
        <v>98</v>
      </c>
      <c r="H121" s="139"/>
      <c r="I121" s="140"/>
      <c r="J121" s="227">
        <v>56.73</v>
      </c>
      <c r="K121" s="160"/>
      <c r="L121" s="229">
        <f t="shared" si="10"/>
        <v>7.3749000000000002</v>
      </c>
      <c r="M121" s="161"/>
      <c r="N121" s="157"/>
      <c r="O121" s="227">
        <f>+J121+L121+M121+N121</f>
        <v>64.104900000000001</v>
      </c>
      <c r="P121" s="140"/>
    </row>
    <row r="122" spans="2:16">
      <c r="B122" s="139">
        <v>19</v>
      </c>
      <c r="C122" s="199">
        <v>44613</v>
      </c>
      <c r="D122" s="177" t="s">
        <v>216</v>
      </c>
      <c r="E122" s="178" t="s">
        <v>165</v>
      </c>
      <c r="F122" s="139"/>
      <c r="G122" s="168" t="s">
        <v>98</v>
      </c>
      <c r="H122" s="139"/>
      <c r="I122" s="140"/>
      <c r="J122" s="227">
        <v>62.39</v>
      </c>
      <c r="K122" s="160"/>
      <c r="L122" s="229">
        <f t="shared" si="10"/>
        <v>8.1106999999999996</v>
      </c>
      <c r="M122" s="161"/>
      <c r="N122" s="157"/>
      <c r="O122" s="227">
        <f t="shared" ref="O122:O129" si="13">+J122+L122+M122+N122</f>
        <v>70.500699999999995</v>
      </c>
      <c r="P122" s="140"/>
    </row>
    <row r="123" spans="2:16">
      <c r="B123" s="139">
        <v>20</v>
      </c>
      <c r="C123" s="199">
        <v>44613</v>
      </c>
      <c r="D123" s="177" t="s">
        <v>217</v>
      </c>
      <c r="E123" s="178" t="s">
        <v>188</v>
      </c>
      <c r="F123" s="139"/>
      <c r="G123" s="208" t="s">
        <v>189</v>
      </c>
      <c r="H123" s="139"/>
      <c r="I123" s="140"/>
      <c r="J123" s="227">
        <v>34.380000000000003</v>
      </c>
      <c r="K123" s="160"/>
      <c r="L123" s="239">
        <f t="shared" si="10"/>
        <v>4.4694000000000003</v>
      </c>
      <c r="M123" s="161"/>
      <c r="N123" s="157"/>
      <c r="O123" s="227">
        <f t="shared" si="13"/>
        <v>38.849400000000003</v>
      </c>
      <c r="P123" s="140"/>
    </row>
    <row r="124" spans="2:16">
      <c r="B124" s="139">
        <v>21</v>
      </c>
      <c r="C124" s="199">
        <v>44614</v>
      </c>
      <c r="D124" s="177" t="s">
        <v>218</v>
      </c>
      <c r="E124" s="178" t="s">
        <v>220</v>
      </c>
      <c r="F124" s="139"/>
      <c r="G124" s="173" t="s">
        <v>219</v>
      </c>
      <c r="H124" s="139"/>
      <c r="I124" s="140"/>
      <c r="J124" s="227">
        <v>12.39</v>
      </c>
      <c r="K124" s="160"/>
      <c r="L124" s="229">
        <f t="shared" si="10"/>
        <v>1.6107</v>
      </c>
      <c r="M124" s="161"/>
      <c r="N124" s="157"/>
      <c r="O124" s="227">
        <f t="shared" si="13"/>
        <v>14.0007</v>
      </c>
      <c r="P124" s="140"/>
    </row>
    <row r="125" spans="2:16">
      <c r="B125" s="139">
        <v>22</v>
      </c>
      <c r="C125" s="199">
        <v>44614</v>
      </c>
      <c r="D125" s="177" t="s">
        <v>221</v>
      </c>
      <c r="E125" s="178" t="s">
        <v>179</v>
      </c>
      <c r="F125" s="139"/>
      <c r="G125" s="173" t="s">
        <v>100</v>
      </c>
      <c r="H125" s="139"/>
      <c r="I125" s="140"/>
      <c r="J125" s="227">
        <v>82.08</v>
      </c>
      <c r="K125" s="160"/>
      <c r="L125" s="229">
        <f t="shared" si="10"/>
        <v>10.670400000000001</v>
      </c>
      <c r="M125" s="161"/>
      <c r="N125" s="157"/>
      <c r="O125" s="227">
        <f t="shared" si="13"/>
        <v>92.750399999999999</v>
      </c>
      <c r="P125" s="140"/>
    </row>
    <row r="126" spans="2:16">
      <c r="B126" s="139">
        <v>23</v>
      </c>
      <c r="C126" s="199">
        <v>44614</v>
      </c>
      <c r="D126" s="177" t="s">
        <v>222</v>
      </c>
      <c r="E126" s="178" t="s">
        <v>223</v>
      </c>
      <c r="F126" s="139"/>
      <c r="G126" s="173" t="s">
        <v>224</v>
      </c>
      <c r="H126" s="139"/>
      <c r="I126" s="140"/>
      <c r="J126" s="229">
        <v>48.67</v>
      </c>
      <c r="K126" s="160"/>
      <c r="L126" s="229">
        <f t="shared" si="10"/>
        <v>6.3271000000000006</v>
      </c>
      <c r="M126" s="161"/>
      <c r="N126" s="157"/>
      <c r="O126" s="229">
        <f t="shared" si="13"/>
        <v>54.997100000000003</v>
      </c>
      <c r="P126" s="140"/>
    </row>
    <row r="127" spans="2:16">
      <c r="B127" s="139">
        <v>24</v>
      </c>
      <c r="C127" s="199">
        <v>44616</v>
      </c>
      <c r="D127" s="203" t="s">
        <v>225</v>
      </c>
      <c r="E127" s="178" t="s">
        <v>165</v>
      </c>
      <c r="F127" s="139"/>
      <c r="G127" s="168" t="s">
        <v>98</v>
      </c>
      <c r="H127" s="139"/>
      <c r="I127" s="140"/>
      <c r="J127" s="229">
        <v>32.85</v>
      </c>
      <c r="K127" s="160"/>
      <c r="L127" s="229">
        <f t="shared" si="10"/>
        <v>4.2705000000000002</v>
      </c>
      <c r="M127" s="161"/>
      <c r="N127" s="157"/>
      <c r="O127" s="229">
        <f t="shared" si="13"/>
        <v>37.1205</v>
      </c>
      <c r="P127" s="140"/>
    </row>
    <row r="128" spans="2:16">
      <c r="B128" s="139">
        <v>25</v>
      </c>
      <c r="C128" s="199">
        <v>44620</v>
      </c>
      <c r="D128" s="203" t="s">
        <v>226</v>
      </c>
      <c r="E128" s="178" t="s">
        <v>165</v>
      </c>
      <c r="F128" s="139"/>
      <c r="G128" s="168" t="s">
        <v>98</v>
      </c>
      <c r="H128" s="139"/>
      <c r="I128" s="140"/>
      <c r="J128" s="229">
        <v>85.17</v>
      </c>
      <c r="K128" s="160"/>
      <c r="L128" s="229">
        <f t="shared" si="10"/>
        <v>11.072100000000001</v>
      </c>
      <c r="M128" s="161"/>
      <c r="N128" s="157"/>
      <c r="O128" s="229">
        <f t="shared" si="13"/>
        <v>96.242100000000008</v>
      </c>
      <c r="P128" s="140"/>
    </row>
    <row r="129" spans="2:16">
      <c r="B129" s="139">
        <v>26</v>
      </c>
      <c r="C129" s="199">
        <v>44620</v>
      </c>
      <c r="D129" s="203" t="s">
        <v>227</v>
      </c>
      <c r="E129" s="178" t="s">
        <v>200</v>
      </c>
      <c r="F129" s="139"/>
      <c r="G129" s="208" t="s">
        <v>97</v>
      </c>
      <c r="H129" s="209"/>
      <c r="I129" s="210"/>
      <c r="J129" s="239">
        <v>8.15</v>
      </c>
      <c r="K129" s="240"/>
      <c r="L129" s="239">
        <f t="shared" si="10"/>
        <v>1.0595000000000001</v>
      </c>
      <c r="M129" s="161"/>
      <c r="N129" s="157"/>
      <c r="O129" s="229">
        <f t="shared" si="13"/>
        <v>9.2095000000000002</v>
      </c>
      <c r="P129" s="140"/>
    </row>
    <row r="130" spans="2:16">
      <c r="B130" s="139"/>
      <c r="C130" s="225"/>
      <c r="D130" s="203"/>
      <c r="E130" s="205"/>
      <c r="F130" s="139"/>
      <c r="G130" s="226"/>
      <c r="H130" s="139"/>
      <c r="I130" s="140"/>
      <c r="J130" s="229"/>
      <c r="K130" s="160"/>
      <c r="L130" s="229"/>
      <c r="M130" s="161"/>
      <c r="N130" s="157"/>
      <c r="O130" s="229"/>
      <c r="P130" s="140"/>
    </row>
    <row r="131" spans="2:16">
      <c r="B131" s="139"/>
      <c r="C131" s="225"/>
      <c r="D131" s="203"/>
      <c r="E131" s="205"/>
      <c r="F131" s="139"/>
      <c r="G131" s="226"/>
      <c r="H131" s="139"/>
      <c r="I131" s="140"/>
      <c r="J131" s="204"/>
      <c r="K131" s="160"/>
      <c r="L131" s="204"/>
      <c r="M131" s="161"/>
      <c r="N131" s="157"/>
      <c r="O131" s="22"/>
      <c r="P131" s="140"/>
    </row>
    <row r="132" spans="2:16">
      <c r="B132" s="128"/>
      <c r="C132" s="129"/>
      <c r="D132" s="125"/>
      <c r="E132" s="125"/>
      <c r="F132" s="125"/>
      <c r="G132" s="149" t="s">
        <v>88</v>
      </c>
      <c r="H132" s="130"/>
      <c r="I132" s="130"/>
      <c r="J132" s="230">
        <f>SUM(J104:J130)</f>
        <v>1712.3600000000001</v>
      </c>
      <c r="K132" s="230"/>
      <c r="L132" s="230">
        <f>SUM(L104:L130)</f>
        <v>222.60679999999999</v>
      </c>
      <c r="M132" s="230">
        <f>SUM(M104:M114)</f>
        <v>0</v>
      </c>
      <c r="N132" s="230">
        <f>SUM(N104:N125)</f>
        <v>0</v>
      </c>
      <c r="O132" s="230">
        <f>SUM(O104:O130)</f>
        <v>1780.5070999999998</v>
      </c>
      <c r="P132" s="130"/>
    </row>
    <row r="133" spans="2:16">
      <c r="L133" s="164"/>
    </row>
    <row r="134" spans="2:16" ht="15.6">
      <c r="B134" s="147" t="s">
        <v>11</v>
      </c>
      <c r="C134" s="147"/>
      <c r="D134" s="147"/>
      <c r="I134" s="213"/>
      <c r="L134" s="103"/>
      <c r="O134" s="103"/>
      <c r="P134" s="103"/>
    </row>
    <row r="135" spans="2:16" ht="17.399999999999999">
      <c r="B135" s="90" t="s">
        <v>84</v>
      </c>
      <c r="C135" s="83"/>
      <c r="D135" s="83"/>
      <c r="I135" s="47"/>
      <c r="J135" s="206"/>
      <c r="L135" s="103">
        <f>L107+L110+L113+L116+L117+L123+L129</f>
        <v>14.034800000000001</v>
      </c>
    </row>
    <row r="136" spans="2:16" ht="15.6">
      <c r="B136" s="83" t="s">
        <v>12</v>
      </c>
      <c r="L136" s="103">
        <f>L135/2</f>
        <v>7.0174000000000003</v>
      </c>
    </row>
    <row r="146" spans="2:16" ht="16.2">
      <c r="B146" s="87" t="s">
        <v>15</v>
      </c>
      <c r="C146" s="79"/>
      <c r="D146" s="148" t="s">
        <v>139</v>
      </c>
      <c r="E146" s="79"/>
      <c r="F146" s="79"/>
      <c r="G146" s="79"/>
      <c r="H146" s="115"/>
      <c r="I146" s="115"/>
      <c r="J146" s="115"/>
      <c r="K146" s="162" t="s">
        <v>80</v>
      </c>
      <c r="L146" s="115"/>
      <c r="M146" s="115"/>
      <c r="N146" s="115"/>
      <c r="O146" s="115"/>
      <c r="P146" s="79"/>
    </row>
    <row r="147" spans="2:16" ht="16.2">
      <c r="B147" s="79" t="s">
        <v>140</v>
      </c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</row>
    <row r="148" spans="2:16" ht="16.8">
      <c r="B148" s="79" t="s">
        <v>16</v>
      </c>
      <c r="C148" s="158" t="s">
        <v>230</v>
      </c>
      <c r="D148" s="88" t="s">
        <v>8</v>
      </c>
      <c r="E148" s="80">
        <v>2022</v>
      </c>
      <c r="F148" s="80"/>
      <c r="G148" s="79"/>
      <c r="H148" s="79"/>
      <c r="I148" s="79"/>
      <c r="J148" s="79"/>
      <c r="K148" s="79"/>
      <c r="L148" s="79"/>
      <c r="M148" s="79"/>
      <c r="N148" s="79"/>
      <c r="O148" s="79"/>
      <c r="P148" s="79"/>
    </row>
    <row r="149" spans="2:16">
      <c r="B149" s="131" t="s">
        <v>17</v>
      </c>
      <c r="C149" s="131" t="s">
        <v>18</v>
      </c>
      <c r="D149" s="131" t="s">
        <v>19</v>
      </c>
      <c r="E149" s="131" t="s">
        <v>19</v>
      </c>
      <c r="F149" s="132" t="s">
        <v>44</v>
      </c>
      <c r="G149" s="133"/>
      <c r="H149" s="134"/>
      <c r="I149" s="135"/>
      <c r="J149" s="134"/>
      <c r="K149" s="135"/>
      <c r="L149" s="136"/>
      <c r="M149" s="135" t="s">
        <v>85</v>
      </c>
      <c r="N149" s="137" t="s">
        <v>56</v>
      </c>
      <c r="O149" s="138" t="s">
        <v>20</v>
      </c>
      <c r="P149" s="132" t="s">
        <v>47</v>
      </c>
    </row>
    <row r="150" spans="2:16">
      <c r="B150" s="139" t="s">
        <v>21</v>
      </c>
      <c r="C150" s="139" t="s">
        <v>22</v>
      </c>
      <c r="D150" s="139" t="s">
        <v>23</v>
      </c>
      <c r="E150" s="139" t="s">
        <v>24</v>
      </c>
      <c r="F150" s="140" t="s">
        <v>45</v>
      </c>
      <c r="G150" s="81" t="s">
        <v>25</v>
      </c>
      <c r="H150" s="211" t="s">
        <v>26</v>
      </c>
      <c r="I150" s="214"/>
      <c r="J150" s="212" t="s">
        <v>27</v>
      </c>
      <c r="K150" s="215"/>
      <c r="L150" s="216"/>
      <c r="M150" s="141" t="s">
        <v>86</v>
      </c>
      <c r="N150" s="142" t="s">
        <v>57</v>
      </c>
      <c r="O150" s="143" t="s">
        <v>28</v>
      </c>
      <c r="P150" s="140" t="s">
        <v>48</v>
      </c>
    </row>
    <row r="151" spans="2:16">
      <c r="B151" s="144"/>
      <c r="C151" s="144"/>
      <c r="D151" s="144"/>
      <c r="E151" s="144"/>
      <c r="F151" s="145" t="s">
        <v>46</v>
      </c>
      <c r="G151" s="146"/>
      <c r="H151" s="144" t="s">
        <v>29</v>
      </c>
      <c r="I151" s="145" t="s">
        <v>30</v>
      </c>
      <c r="J151" s="144" t="s">
        <v>29</v>
      </c>
      <c r="K151" s="145" t="s">
        <v>30</v>
      </c>
      <c r="L151" s="145" t="s">
        <v>31</v>
      </c>
      <c r="M151" s="212" t="s">
        <v>87</v>
      </c>
      <c r="N151" s="211" t="s">
        <v>58</v>
      </c>
      <c r="O151" s="212"/>
      <c r="P151" s="140" t="s">
        <v>49</v>
      </c>
    </row>
    <row r="152" spans="2:16">
      <c r="B152" s="139">
        <v>1</v>
      </c>
      <c r="C152" s="218">
        <v>44621</v>
      </c>
      <c r="D152" s="177" t="s">
        <v>231</v>
      </c>
      <c r="E152" s="205" t="s">
        <v>176</v>
      </c>
      <c r="F152" s="139"/>
      <c r="G152" s="217" t="s">
        <v>105</v>
      </c>
      <c r="H152" s="139"/>
      <c r="I152" s="140"/>
      <c r="J152" s="228">
        <v>8.2200000000000006</v>
      </c>
      <c r="K152" s="240"/>
      <c r="L152" s="239">
        <f t="shared" ref="L152:L181" si="14">J152*13%</f>
        <v>1.0686000000000002</v>
      </c>
      <c r="M152" s="161"/>
      <c r="N152" s="157"/>
      <c r="O152" s="227">
        <f t="shared" ref="O152:O153" si="15">+J152+L152+M152</f>
        <v>9.2886000000000006</v>
      </c>
      <c r="P152" s="140"/>
    </row>
    <row r="153" spans="2:16">
      <c r="B153" s="139">
        <v>2</v>
      </c>
      <c r="C153" s="218">
        <v>44622</v>
      </c>
      <c r="D153" s="177" t="s">
        <v>232</v>
      </c>
      <c r="E153" s="178" t="s">
        <v>234</v>
      </c>
      <c r="F153" s="139"/>
      <c r="G153" s="173" t="s">
        <v>233</v>
      </c>
      <c r="H153" s="139"/>
      <c r="I153" s="140"/>
      <c r="J153" s="227">
        <v>12.97</v>
      </c>
      <c r="K153" s="160"/>
      <c r="L153" s="229">
        <f t="shared" si="14"/>
        <v>1.6861000000000002</v>
      </c>
      <c r="M153" s="161"/>
      <c r="N153" s="157"/>
      <c r="O153" s="227">
        <f t="shared" si="15"/>
        <v>14.6561</v>
      </c>
      <c r="P153" s="140"/>
    </row>
    <row r="154" spans="2:16">
      <c r="B154" s="139">
        <v>3</v>
      </c>
      <c r="C154" s="218">
        <v>44622</v>
      </c>
      <c r="D154" s="177" t="s">
        <v>235</v>
      </c>
      <c r="E154" s="178" t="s">
        <v>236</v>
      </c>
      <c r="F154" s="139"/>
      <c r="G154" s="173" t="s">
        <v>237</v>
      </c>
      <c r="H154" s="139"/>
      <c r="I154" s="140"/>
      <c r="J154" s="227">
        <v>2.65</v>
      </c>
      <c r="K154" s="160"/>
      <c r="L154" s="229">
        <f t="shared" si="14"/>
        <v>0.34449999999999997</v>
      </c>
      <c r="M154" s="161"/>
      <c r="N154" s="157"/>
      <c r="O154" s="227">
        <f t="shared" ref="O154:O160" si="16">+J154+L154+M154</f>
        <v>2.9944999999999999</v>
      </c>
      <c r="P154" s="140"/>
    </row>
    <row r="155" spans="2:16">
      <c r="B155" s="139">
        <v>4</v>
      </c>
      <c r="C155" s="218">
        <v>44623</v>
      </c>
      <c r="D155" s="177" t="s">
        <v>238</v>
      </c>
      <c r="E155" s="175" t="s">
        <v>197</v>
      </c>
      <c r="F155" s="139"/>
      <c r="G155" s="168" t="s">
        <v>90</v>
      </c>
      <c r="H155" s="139"/>
      <c r="I155" s="210"/>
      <c r="J155" s="227">
        <v>669.81</v>
      </c>
      <c r="K155" s="160"/>
      <c r="L155" s="229">
        <f t="shared" si="14"/>
        <v>87.075299999999999</v>
      </c>
      <c r="M155" s="161"/>
      <c r="N155" s="157"/>
      <c r="O155" s="227">
        <f t="shared" si="16"/>
        <v>756.88529999999992</v>
      </c>
      <c r="P155" s="140"/>
    </row>
    <row r="156" spans="2:16">
      <c r="B156" s="139">
        <v>5</v>
      </c>
      <c r="C156" s="218">
        <v>44623</v>
      </c>
      <c r="D156" s="177" t="s">
        <v>239</v>
      </c>
      <c r="E156" s="178" t="s">
        <v>192</v>
      </c>
      <c r="F156" s="139"/>
      <c r="G156" s="168" t="s">
        <v>96</v>
      </c>
      <c r="H156" s="139"/>
      <c r="I156" s="210"/>
      <c r="J156" s="227">
        <v>171.17</v>
      </c>
      <c r="K156" s="160"/>
      <c r="L156" s="229">
        <f t="shared" si="14"/>
        <v>22.252099999999999</v>
      </c>
      <c r="M156" s="161"/>
      <c r="N156" s="157"/>
      <c r="O156" s="227">
        <f t="shared" si="16"/>
        <v>193.4221</v>
      </c>
      <c r="P156" s="140"/>
    </row>
    <row r="157" spans="2:16">
      <c r="B157" s="139">
        <v>6</v>
      </c>
      <c r="C157" s="218">
        <v>44623</v>
      </c>
      <c r="D157" s="177" t="s">
        <v>240</v>
      </c>
      <c r="E157" s="178" t="s">
        <v>192</v>
      </c>
      <c r="F157" s="139"/>
      <c r="G157" s="168" t="s">
        <v>96</v>
      </c>
      <c r="H157" s="139"/>
      <c r="I157" s="140"/>
      <c r="J157" s="227">
        <v>48.37</v>
      </c>
      <c r="K157" s="160"/>
      <c r="L157" s="229">
        <f t="shared" si="14"/>
        <v>6.2881</v>
      </c>
      <c r="M157" s="161"/>
      <c r="N157" s="157"/>
      <c r="O157" s="227">
        <f t="shared" si="16"/>
        <v>54.658099999999997</v>
      </c>
      <c r="P157" s="140"/>
    </row>
    <row r="158" spans="2:16">
      <c r="B158" s="139">
        <v>7</v>
      </c>
      <c r="C158" s="218">
        <v>44626</v>
      </c>
      <c r="D158" s="177" t="s">
        <v>241</v>
      </c>
      <c r="E158" s="178" t="s">
        <v>204</v>
      </c>
      <c r="F158" s="139"/>
      <c r="G158" s="208" t="s">
        <v>99</v>
      </c>
      <c r="H158" s="139"/>
      <c r="I158" s="140"/>
      <c r="J158" s="228">
        <v>8.25</v>
      </c>
      <c r="K158" s="240"/>
      <c r="L158" s="239">
        <f t="shared" si="14"/>
        <v>1.0725</v>
      </c>
      <c r="M158" s="242"/>
      <c r="N158" s="243"/>
      <c r="O158" s="228">
        <f t="shared" si="16"/>
        <v>9.3224999999999998</v>
      </c>
      <c r="P158" s="140"/>
    </row>
    <row r="159" spans="2:16">
      <c r="B159" s="139">
        <v>8</v>
      </c>
      <c r="C159" s="218">
        <v>44627</v>
      </c>
      <c r="D159" s="177" t="s">
        <v>242</v>
      </c>
      <c r="E159" s="178" t="s">
        <v>170</v>
      </c>
      <c r="F159" s="139"/>
      <c r="G159" s="208" t="s">
        <v>93</v>
      </c>
      <c r="H159" s="209"/>
      <c r="I159" s="140"/>
      <c r="J159" s="227">
        <v>26.55</v>
      </c>
      <c r="K159" s="160"/>
      <c r="L159" s="239">
        <f t="shared" si="14"/>
        <v>3.4515000000000002</v>
      </c>
      <c r="M159" s="161"/>
      <c r="N159" s="157"/>
      <c r="O159" s="227">
        <f t="shared" si="16"/>
        <v>30.0015</v>
      </c>
      <c r="P159" s="140"/>
    </row>
    <row r="160" spans="2:16">
      <c r="B160" s="139">
        <v>9</v>
      </c>
      <c r="C160" s="218">
        <v>44627</v>
      </c>
      <c r="D160" s="177" t="s">
        <v>243</v>
      </c>
      <c r="E160" s="178" t="s">
        <v>165</v>
      </c>
      <c r="F160" s="139"/>
      <c r="G160" s="168" t="s">
        <v>98</v>
      </c>
      <c r="H160" s="139"/>
      <c r="I160" s="140"/>
      <c r="J160" s="227">
        <v>97.56</v>
      </c>
      <c r="K160" s="160"/>
      <c r="L160" s="229">
        <f t="shared" si="14"/>
        <v>12.6828</v>
      </c>
      <c r="M160" s="161"/>
      <c r="N160" s="157"/>
      <c r="O160" s="227">
        <f t="shared" si="16"/>
        <v>110.2428</v>
      </c>
      <c r="P160" s="140"/>
    </row>
    <row r="161" spans="2:16">
      <c r="B161" s="139">
        <v>10</v>
      </c>
      <c r="C161" s="218">
        <v>44628</v>
      </c>
      <c r="D161" s="177" t="s">
        <v>244</v>
      </c>
      <c r="E161" s="178" t="s">
        <v>179</v>
      </c>
      <c r="F161" s="139"/>
      <c r="G161" s="173" t="s">
        <v>100</v>
      </c>
      <c r="H161" s="139"/>
      <c r="I161" s="140"/>
      <c r="J161" s="227">
        <v>3.58</v>
      </c>
      <c r="K161" s="160"/>
      <c r="L161" s="229">
        <f t="shared" si="14"/>
        <v>0.46540000000000004</v>
      </c>
      <c r="M161" s="161"/>
      <c r="N161" s="157"/>
      <c r="O161" s="227">
        <f>+J161+L161+M161+N161</f>
        <v>4.0453999999999999</v>
      </c>
      <c r="P161" s="140"/>
    </row>
    <row r="162" spans="2:16">
      <c r="B162" s="139">
        <v>11</v>
      </c>
      <c r="C162" s="218">
        <v>44630</v>
      </c>
      <c r="D162" s="177" t="s">
        <v>245</v>
      </c>
      <c r="E162" s="178" t="s">
        <v>246</v>
      </c>
      <c r="F162" s="139"/>
      <c r="G162" s="173" t="s">
        <v>247</v>
      </c>
      <c r="H162" s="139"/>
      <c r="I162" s="140"/>
      <c r="J162" s="227">
        <v>3.27</v>
      </c>
      <c r="K162" s="160"/>
      <c r="L162" s="229">
        <f t="shared" si="14"/>
        <v>0.42510000000000003</v>
      </c>
      <c r="M162" s="161"/>
      <c r="N162" s="157"/>
      <c r="O162" s="227">
        <f t="shared" ref="O162:O168" si="17">+J162+L162+M162</f>
        <v>3.6951000000000001</v>
      </c>
      <c r="P162" s="140"/>
    </row>
    <row r="163" spans="2:16">
      <c r="B163" s="139">
        <v>12</v>
      </c>
      <c r="C163" s="218">
        <v>44630</v>
      </c>
      <c r="D163" s="177" t="s">
        <v>248</v>
      </c>
      <c r="E163" s="178" t="s">
        <v>204</v>
      </c>
      <c r="F163" s="139"/>
      <c r="G163" s="208" t="s">
        <v>99</v>
      </c>
      <c r="H163" s="209"/>
      <c r="I163" s="210"/>
      <c r="J163" s="228">
        <v>8.27</v>
      </c>
      <c r="K163" s="240"/>
      <c r="L163" s="239">
        <f t="shared" si="14"/>
        <v>1.0750999999999999</v>
      </c>
      <c r="M163" s="161"/>
      <c r="N163" s="157"/>
      <c r="O163" s="228">
        <f t="shared" si="17"/>
        <v>9.3450999999999986</v>
      </c>
      <c r="P163" s="140"/>
    </row>
    <row r="164" spans="2:16">
      <c r="B164" s="139">
        <v>13</v>
      </c>
      <c r="C164" s="218">
        <v>44630</v>
      </c>
      <c r="D164" s="177" t="s">
        <v>249</v>
      </c>
      <c r="E164" s="178" t="s">
        <v>179</v>
      </c>
      <c r="F164" s="139"/>
      <c r="G164" s="173" t="s">
        <v>100</v>
      </c>
      <c r="H164" s="209"/>
      <c r="I164" s="210"/>
      <c r="J164" s="227">
        <v>95.82</v>
      </c>
      <c r="K164" s="160"/>
      <c r="L164" s="229">
        <f t="shared" si="14"/>
        <v>12.4566</v>
      </c>
      <c r="M164" s="161"/>
      <c r="N164" s="157"/>
      <c r="O164" s="227">
        <f t="shared" si="17"/>
        <v>108.27659999999999</v>
      </c>
      <c r="P164" s="140"/>
    </row>
    <row r="165" spans="2:16">
      <c r="B165" s="139">
        <v>14</v>
      </c>
      <c r="C165" s="218">
        <v>44632</v>
      </c>
      <c r="D165" s="177" t="s">
        <v>250</v>
      </c>
      <c r="E165" s="178" t="s">
        <v>204</v>
      </c>
      <c r="F165" s="139"/>
      <c r="G165" s="208" t="s">
        <v>99</v>
      </c>
      <c r="H165" s="209"/>
      <c r="I165" s="210"/>
      <c r="J165" s="228">
        <v>8.25</v>
      </c>
      <c r="K165" s="240"/>
      <c r="L165" s="239">
        <f t="shared" si="14"/>
        <v>1.0725</v>
      </c>
      <c r="M165" s="161"/>
      <c r="N165" s="157"/>
      <c r="O165" s="227">
        <f t="shared" si="17"/>
        <v>9.3224999999999998</v>
      </c>
      <c r="P165" s="140"/>
    </row>
    <row r="166" spans="2:16">
      <c r="B166" s="139">
        <v>15</v>
      </c>
      <c r="C166" s="218">
        <v>44634</v>
      </c>
      <c r="D166" s="177" t="s">
        <v>251</v>
      </c>
      <c r="E166" s="178" t="s">
        <v>175</v>
      </c>
      <c r="F166" s="139"/>
      <c r="G166" s="208" t="s">
        <v>103</v>
      </c>
      <c r="H166" s="139"/>
      <c r="I166" s="140"/>
      <c r="J166" s="239">
        <v>12.63</v>
      </c>
      <c r="K166" s="240"/>
      <c r="L166" s="239">
        <f t="shared" si="14"/>
        <v>1.6419000000000001</v>
      </c>
      <c r="M166" s="161"/>
      <c r="N166" s="157"/>
      <c r="O166" s="228">
        <f t="shared" si="17"/>
        <v>14.2719</v>
      </c>
      <c r="P166" s="140"/>
    </row>
    <row r="167" spans="2:16">
      <c r="B167" s="139">
        <v>16</v>
      </c>
      <c r="C167" s="218">
        <v>44635</v>
      </c>
      <c r="D167" s="177" t="s">
        <v>252</v>
      </c>
      <c r="E167" s="178" t="s">
        <v>165</v>
      </c>
      <c r="F167" s="139"/>
      <c r="G167" s="168" t="s">
        <v>98</v>
      </c>
      <c r="H167" s="139"/>
      <c r="I167" s="140"/>
      <c r="J167" s="227">
        <v>109.58</v>
      </c>
      <c r="K167" s="160"/>
      <c r="L167" s="229">
        <f t="shared" si="14"/>
        <v>14.2454</v>
      </c>
      <c r="M167" s="161"/>
      <c r="N167" s="157"/>
      <c r="O167" s="227">
        <f t="shared" si="17"/>
        <v>123.8254</v>
      </c>
      <c r="P167" s="140"/>
    </row>
    <row r="168" spans="2:16">
      <c r="B168" s="139">
        <v>17</v>
      </c>
      <c r="C168" s="218">
        <v>44635</v>
      </c>
      <c r="D168" s="177" t="s">
        <v>253</v>
      </c>
      <c r="E168" s="178" t="s">
        <v>165</v>
      </c>
      <c r="F168" s="139"/>
      <c r="G168" s="168" t="s">
        <v>98</v>
      </c>
      <c r="H168" s="139"/>
      <c r="I168" s="140"/>
      <c r="J168" s="227">
        <v>9.91</v>
      </c>
      <c r="K168" s="160"/>
      <c r="L168" s="229">
        <f t="shared" si="14"/>
        <v>1.2883</v>
      </c>
      <c r="M168" s="161"/>
      <c r="N168" s="157"/>
      <c r="O168" s="227">
        <f t="shared" si="17"/>
        <v>11.1983</v>
      </c>
      <c r="P168" s="140"/>
    </row>
    <row r="169" spans="2:16">
      <c r="B169" s="139">
        <v>18</v>
      </c>
      <c r="C169" s="218">
        <v>44637</v>
      </c>
      <c r="D169" s="177" t="s">
        <v>254</v>
      </c>
      <c r="E169" s="178" t="s">
        <v>200</v>
      </c>
      <c r="F169" s="139"/>
      <c r="G169" s="208" t="s">
        <v>97</v>
      </c>
      <c r="H169" s="139"/>
      <c r="I169" s="140"/>
      <c r="J169" s="239">
        <v>8.42</v>
      </c>
      <c r="K169" s="240"/>
      <c r="L169" s="239">
        <f t="shared" si="14"/>
        <v>1.0946</v>
      </c>
      <c r="M169" s="161"/>
      <c r="N169" s="157"/>
      <c r="O169" s="227">
        <f>+J169+L169+M169+N169</f>
        <v>9.5145999999999997</v>
      </c>
      <c r="P169" s="140"/>
    </row>
    <row r="170" spans="2:16">
      <c r="B170" s="139">
        <v>19</v>
      </c>
      <c r="C170" s="218">
        <v>44639</v>
      </c>
      <c r="D170" s="177" t="s">
        <v>255</v>
      </c>
      <c r="E170" s="178" t="s">
        <v>175</v>
      </c>
      <c r="F170" s="139"/>
      <c r="G170" s="208" t="s">
        <v>103</v>
      </c>
      <c r="H170" s="139"/>
      <c r="I170" s="140"/>
      <c r="J170" s="239">
        <v>16.850000000000001</v>
      </c>
      <c r="K170" s="240"/>
      <c r="L170" s="239">
        <f t="shared" si="14"/>
        <v>2.1905000000000001</v>
      </c>
      <c r="M170" s="161"/>
      <c r="N170" s="157"/>
      <c r="O170" s="227">
        <f t="shared" ref="O170:O181" si="18">+J170+L170+M170+N170</f>
        <v>19.040500000000002</v>
      </c>
      <c r="P170" s="140"/>
    </row>
    <row r="171" spans="2:16">
      <c r="B171" s="139">
        <v>20</v>
      </c>
      <c r="C171" s="218">
        <v>44639</v>
      </c>
      <c r="D171" s="177" t="s">
        <v>256</v>
      </c>
      <c r="E171" s="178" t="s">
        <v>257</v>
      </c>
      <c r="F171" s="139"/>
      <c r="G171" s="174" t="s">
        <v>102</v>
      </c>
      <c r="H171" s="139"/>
      <c r="I171" s="140"/>
      <c r="J171" s="229">
        <v>9.3000000000000007</v>
      </c>
      <c r="K171" s="160"/>
      <c r="L171" s="229">
        <f t="shared" si="14"/>
        <v>1.2090000000000001</v>
      </c>
      <c r="M171" s="161"/>
      <c r="N171" s="157"/>
      <c r="O171" s="227">
        <f t="shared" si="18"/>
        <v>10.509</v>
      </c>
      <c r="P171" s="140"/>
    </row>
    <row r="172" spans="2:16">
      <c r="B172" s="139">
        <v>21</v>
      </c>
      <c r="C172" s="218">
        <v>44639</v>
      </c>
      <c r="D172" s="177" t="s">
        <v>258</v>
      </c>
      <c r="E172" s="178" t="s">
        <v>259</v>
      </c>
      <c r="F172" s="139"/>
      <c r="G172" s="173" t="s">
        <v>260</v>
      </c>
      <c r="H172" s="139"/>
      <c r="I172" s="140"/>
      <c r="J172" s="227">
        <v>9.2899999999999991</v>
      </c>
      <c r="K172" s="160"/>
      <c r="L172" s="229">
        <f t="shared" si="14"/>
        <v>1.2077</v>
      </c>
      <c r="M172" s="161"/>
      <c r="N172" s="157"/>
      <c r="O172" s="227">
        <f t="shared" si="18"/>
        <v>10.497699999999998</v>
      </c>
      <c r="P172" s="140"/>
    </row>
    <row r="173" spans="2:16">
      <c r="B173" s="139">
        <v>22</v>
      </c>
      <c r="C173" s="218">
        <v>44639</v>
      </c>
      <c r="D173" s="177" t="s">
        <v>261</v>
      </c>
      <c r="E173" s="178" t="s">
        <v>192</v>
      </c>
      <c r="F173" s="139"/>
      <c r="G173" s="168" t="s">
        <v>96</v>
      </c>
      <c r="H173" s="139"/>
      <c r="I173" s="140"/>
      <c r="J173" s="227">
        <v>10.87</v>
      </c>
      <c r="K173" s="160"/>
      <c r="L173" s="229">
        <f t="shared" si="14"/>
        <v>1.4131</v>
      </c>
      <c r="M173" s="161"/>
      <c r="N173" s="157"/>
      <c r="O173" s="227">
        <f t="shared" si="18"/>
        <v>12.283099999999999</v>
      </c>
      <c r="P173" s="140"/>
    </row>
    <row r="174" spans="2:16">
      <c r="B174" s="139">
        <v>23</v>
      </c>
      <c r="C174" s="218">
        <v>44639</v>
      </c>
      <c r="D174" s="177" t="s">
        <v>262</v>
      </c>
      <c r="E174" s="178" t="s">
        <v>192</v>
      </c>
      <c r="F174" s="139"/>
      <c r="G174" s="168" t="s">
        <v>96</v>
      </c>
      <c r="H174" s="139"/>
      <c r="I174" s="140"/>
      <c r="J174" s="229">
        <v>232.84</v>
      </c>
      <c r="K174" s="160"/>
      <c r="L174" s="229">
        <f t="shared" si="14"/>
        <v>30.269200000000001</v>
      </c>
      <c r="M174" s="161"/>
      <c r="N174" s="157"/>
      <c r="O174" s="229">
        <f t="shared" si="18"/>
        <v>263.10919999999999</v>
      </c>
      <c r="P174" s="140"/>
    </row>
    <row r="175" spans="2:16">
      <c r="B175" s="139">
        <v>24</v>
      </c>
      <c r="C175" s="218">
        <v>44639</v>
      </c>
      <c r="D175" s="203" t="s">
        <v>263</v>
      </c>
      <c r="E175" s="175" t="s">
        <v>141</v>
      </c>
      <c r="F175" s="139"/>
      <c r="G175" s="168" t="s">
        <v>101</v>
      </c>
      <c r="H175" s="139"/>
      <c r="I175" s="140"/>
      <c r="J175" s="229">
        <v>12.9</v>
      </c>
      <c r="K175" s="160"/>
      <c r="L175" s="229">
        <f t="shared" si="14"/>
        <v>1.677</v>
      </c>
      <c r="M175" s="161"/>
      <c r="N175" s="157"/>
      <c r="O175" s="229">
        <f t="shared" si="18"/>
        <v>14.577</v>
      </c>
      <c r="P175" s="140"/>
    </row>
    <row r="176" spans="2:16">
      <c r="B176" s="139">
        <v>25</v>
      </c>
      <c r="C176" s="218">
        <v>44648</v>
      </c>
      <c r="D176" s="203" t="s">
        <v>264</v>
      </c>
      <c r="E176" s="178" t="s">
        <v>165</v>
      </c>
      <c r="F176" s="139"/>
      <c r="G176" s="168" t="s">
        <v>98</v>
      </c>
      <c r="H176" s="139"/>
      <c r="I176" s="140"/>
      <c r="J176" s="229">
        <v>90.91</v>
      </c>
      <c r="K176" s="160"/>
      <c r="L176" s="229">
        <f t="shared" si="14"/>
        <v>11.818300000000001</v>
      </c>
      <c r="M176" s="161"/>
      <c r="N176" s="157"/>
      <c r="O176" s="229">
        <f t="shared" si="18"/>
        <v>102.72829999999999</v>
      </c>
      <c r="P176" s="140"/>
    </row>
    <row r="177" spans="2:16">
      <c r="B177" s="139">
        <v>26</v>
      </c>
      <c r="C177" s="218">
        <v>44648</v>
      </c>
      <c r="D177" s="203" t="s">
        <v>265</v>
      </c>
      <c r="E177" s="178" t="s">
        <v>192</v>
      </c>
      <c r="F177" s="139"/>
      <c r="G177" s="168" t="s">
        <v>96</v>
      </c>
      <c r="H177" s="209"/>
      <c r="I177" s="210"/>
      <c r="J177" s="229">
        <v>20.09</v>
      </c>
      <c r="K177" s="160"/>
      <c r="L177" s="229">
        <f t="shared" si="14"/>
        <v>2.6116999999999999</v>
      </c>
      <c r="M177" s="161"/>
      <c r="N177" s="157"/>
      <c r="O177" s="229">
        <f t="shared" si="18"/>
        <v>22.701699999999999</v>
      </c>
      <c r="P177" s="140"/>
    </row>
    <row r="178" spans="2:16">
      <c r="B178" s="139"/>
      <c r="C178" s="218">
        <v>44648</v>
      </c>
      <c r="D178" s="203" t="s">
        <v>266</v>
      </c>
      <c r="E178" s="205" t="s">
        <v>176</v>
      </c>
      <c r="F178" s="139"/>
      <c r="G178" s="217" t="s">
        <v>105</v>
      </c>
      <c r="H178" s="209"/>
      <c r="I178" s="210"/>
      <c r="J178" s="239">
        <v>8.42</v>
      </c>
      <c r="K178" s="240"/>
      <c r="L178" s="239">
        <f t="shared" si="14"/>
        <v>1.0946</v>
      </c>
      <c r="M178" s="161"/>
      <c r="N178" s="157"/>
      <c r="O178" s="229">
        <f t="shared" si="18"/>
        <v>9.5145999999999997</v>
      </c>
      <c r="P178" s="140"/>
    </row>
    <row r="179" spans="2:16">
      <c r="B179" s="139"/>
      <c r="C179" s="218">
        <v>44648</v>
      </c>
      <c r="D179" s="203" t="s">
        <v>267</v>
      </c>
      <c r="E179" s="205" t="s">
        <v>176</v>
      </c>
      <c r="F179" s="139"/>
      <c r="G179" s="217" t="s">
        <v>105</v>
      </c>
      <c r="H179" s="209"/>
      <c r="I179" s="210"/>
      <c r="J179" s="239">
        <v>8.42</v>
      </c>
      <c r="K179" s="240"/>
      <c r="L179" s="239">
        <f t="shared" si="14"/>
        <v>1.0946</v>
      </c>
      <c r="M179" s="161"/>
      <c r="N179" s="157"/>
      <c r="O179" s="229">
        <f t="shared" si="18"/>
        <v>9.5145999999999997</v>
      </c>
      <c r="P179" s="140"/>
    </row>
    <row r="180" spans="2:16">
      <c r="B180" s="139"/>
      <c r="C180" s="218">
        <v>44648</v>
      </c>
      <c r="D180" s="203" t="s">
        <v>268</v>
      </c>
      <c r="E180" s="178" t="s">
        <v>165</v>
      </c>
      <c r="F180" s="139"/>
      <c r="G180" s="168" t="s">
        <v>98</v>
      </c>
      <c r="H180" s="209"/>
      <c r="I180" s="210"/>
      <c r="J180" s="229">
        <v>5.51</v>
      </c>
      <c r="K180" s="160"/>
      <c r="L180" s="229">
        <f t="shared" si="14"/>
        <v>0.71630000000000005</v>
      </c>
      <c r="M180" s="161"/>
      <c r="N180" s="157"/>
      <c r="O180" s="229">
        <f t="shared" si="18"/>
        <v>6.2263000000000002</v>
      </c>
      <c r="P180" s="140"/>
    </row>
    <row r="181" spans="2:16">
      <c r="B181" s="139"/>
      <c r="C181" s="218">
        <v>44648</v>
      </c>
      <c r="D181" s="203" t="s">
        <v>269</v>
      </c>
      <c r="E181" s="178" t="s">
        <v>165</v>
      </c>
      <c r="F181" s="139"/>
      <c r="G181" s="168" t="s">
        <v>98</v>
      </c>
      <c r="H181" s="209"/>
      <c r="I181" s="210"/>
      <c r="J181" s="229">
        <v>90.56</v>
      </c>
      <c r="K181" s="160"/>
      <c r="L181" s="229">
        <f t="shared" si="14"/>
        <v>11.7728</v>
      </c>
      <c r="M181" s="161"/>
      <c r="N181" s="157"/>
      <c r="O181" s="229">
        <f t="shared" si="18"/>
        <v>102.33280000000001</v>
      </c>
      <c r="P181" s="140"/>
    </row>
    <row r="182" spans="2:16">
      <c r="B182" s="139"/>
      <c r="C182" s="225"/>
      <c r="D182" s="203"/>
      <c r="E182" s="205"/>
      <c r="F182" s="139"/>
      <c r="G182" s="226"/>
      <c r="H182" s="139"/>
      <c r="I182" s="140"/>
      <c r="J182" s="204"/>
      <c r="K182" s="160"/>
      <c r="L182" s="204"/>
      <c r="M182" s="161"/>
      <c r="N182" s="157"/>
      <c r="O182" s="22"/>
      <c r="P182" s="140"/>
    </row>
    <row r="183" spans="2:16">
      <c r="B183" s="128"/>
      <c r="C183" s="129"/>
      <c r="D183" s="125"/>
      <c r="E183" s="125"/>
      <c r="F183" s="125"/>
      <c r="G183" s="149" t="s">
        <v>88</v>
      </c>
      <c r="H183" s="130"/>
      <c r="I183" s="130"/>
      <c r="J183" s="230">
        <f>SUM(J152:J181)</f>
        <v>1821.2399999999998</v>
      </c>
      <c r="K183" s="230"/>
      <c r="L183" s="230">
        <f>SUM(L152:L181)</f>
        <v>236.76119999999992</v>
      </c>
      <c r="M183" s="230">
        <f>SUM(M152:M162)</f>
        <v>0</v>
      </c>
      <c r="N183" s="230">
        <f>SUM(N152:N173)</f>
        <v>0</v>
      </c>
      <c r="O183" s="230">
        <f>SUM(O152:O181)</f>
        <v>2058.0011999999997</v>
      </c>
      <c r="P183" s="130"/>
    </row>
    <row r="184" spans="2:16">
      <c r="L184" s="164"/>
    </row>
    <row r="185" spans="2:16" ht="15.6">
      <c r="B185" s="147" t="s">
        <v>11</v>
      </c>
      <c r="C185" s="147"/>
      <c r="D185" s="147"/>
      <c r="I185" s="213"/>
      <c r="L185" s="103">
        <f>L152+L158+L159+L163+L165+L166+L169+L170+L178+L179</f>
        <v>14.856400000000001</v>
      </c>
      <c r="O185" s="103"/>
      <c r="P185" s="103"/>
    </row>
    <row r="186" spans="2:16" ht="17.399999999999999">
      <c r="B186" s="90" t="s">
        <v>84</v>
      </c>
      <c r="C186" s="83"/>
      <c r="D186" s="83"/>
      <c r="I186" s="47"/>
      <c r="J186" s="206"/>
      <c r="L186" s="103"/>
    </row>
    <row r="187" spans="2:16" ht="15.6">
      <c r="B187" s="83" t="s">
        <v>12</v>
      </c>
      <c r="L187" s="103">
        <f>L185/2</f>
        <v>7.4282000000000004</v>
      </c>
    </row>
    <row r="195" spans="2:16" ht="16.2">
      <c r="B195" s="87" t="s">
        <v>15</v>
      </c>
      <c r="C195" s="79"/>
      <c r="D195" s="148" t="s">
        <v>139</v>
      </c>
      <c r="E195" s="79"/>
      <c r="F195" s="79"/>
      <c r="G195" s="79"/>
      <c r="H195" s="115"/>
      <c r="I195" s="115"/>
      <c r="J195" s="115"/>
      <c r="K195" s="162" t="s">
        <v>80</v>
      </c>
      <c r="L195" s="115"/>
      <c r="M195" s="115"/>
      <c r="N195" s="115"/>
      <c r="O195" s="115"/>
      <c r="P195" s="79"/>
    </row>
    <row r="196" spans="2:16" ht="16.2">
      <c r="B196" s="79" t="s">
        <v>140</v>
      </c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</row>
    <row r="197" spans="2:16" ht="16.8">
      <c r="B197" s="79" t="s">
        <v>16</v>
      </c>
      <c r="C197" s="256" t="s">
        <v>77</v>
      </c>
      <c r="D197" s="88" t="s">
        <v>8</v>
      </c>
      <c r="E197" s="80">
        <v>2022</v>
      </c>
      <c r="F197" s="80"/>
      <c r="G197" s="79"/>
      <c r="H197" s="79"/>
      <c r="I197" s="79"/>
      <c r="J197" s="79"/>
      <c r="K197" s="79"/>
      <c r="L197" s="79"/>
      <c r="M197" s="79"/>
      <c r="N197" s="79"/>
      <c r="O197" s="79"/>
      <c r="P197" s="79"/>
    </row>
    <row r="198" spans="2:16">
      <c r="B198" s="131" t="s">
        <v>17</v>
      </c>
      <c r="C198" s="131" t="s">
        <v>18</v>
      </c>
      <c r="D198" s="131" t="s">
        <v>19</v>
      </c>
      <c r="E198" s="131" t="s">
        <v>19</v>
      </c>
      <c r="F198" s="132" t="s">
        <v>44</v>
      </c>
      <c r="G198" s="133"/>
      <c r="H198" s="134"/>
      <c r="I198" s="135"/>
      <c r="J198" s="134"/>
      <c r="K198" s="135"/>
      <c r="L198" s="136"/>
      <c r="M198" s="135" t="s">
        <v>85</v>
      </c>
      <c r="N198" s="137" t="s">
        <v>56</v>
      </c>
      <c r="O198" s="138" t="s">
        <v>20</v>
      </c>
      <c r="P198" s="132" t="s">
        <v>47</v>
      </c>
    </row>
    <row r="199" spans="2:16">
      <c r="B199" s="139" t="s">
        <v>21</v>
      </c>
      <c r="C199" s="139" t="s">
        <v>22</v>
      </c>
      <c r="D199" s="139" t="s">
        <v>23</v>
      </c>
      <c r="E199" s="139" t="s">
        <v>24</v>
      </c>
      <c r="F199" s="140" t="s">
        <v>45</v>
      </c>
      <c r="G199" s="81" t="s">
        <v>25</v>
      </c>
      <c r="H199" s="211" t="s">
        <v>26</v>
      </c>
      <c r="I199" s="214"/>
      <c r="J199" s="212" t="s">
        <v>27</v>
      </c>
      <c r="K199" s="215"/>
      <c r="L199" s="216"/>
      <c r="M199" s="141" t="s">
        <v>86</v>
      </c>
      <c r="N199" s="142" t="s">
        <v>57</v>
      </c>
      <c r="O199" s="143" t="s">
        <v>28</v>
      </c>
      <c r="P199" s="140" t="s">
        <v>48</v>
      </c>
    </row>
    <row r="200" spans="2:16">
      <c r="B200" s="144"/>
      <c r="C200" s="144"/>
      <c r="D200" s="144"/>
      <c r="E200" s="144"/>
      <c r="F200" s="145" t="s">
        <v>46</v>
      </c>
      <c r="G200" s="146"/>
      <c r="H200" s="144" t="s">
        <v>29</v>
      </c>
      <c r="I200" s="145" t="s">
        <v>30</v>
      </c>
      <c r="J200" s="144" t="s">
        <v>29</v>
      </c>
      <c r="K200" s="145" t="s">
        <v>30</v>
      </c>
      <c r="L200" s="145" t="s">
        <v>31</v>
      </c>
      <c r="M200" s="212" t="s">
        <v>87</v>
      </c>
      <c r="N200" s="211" t="s">
        <v>58</v>
      </c>
      <c r="O200" s="212"/>
      <c r="P200" s="140" t="s">
        <v>49</v>
      </c>
    </row>
    <row r="201" spans="2:16">
      <c r="B201" s="139">
        <v>1</v>
      </c>
      <c r="C201" s="218">
        <v>44621</v>
      </c>
      <c r="D201" s="177" t="s">
        <v>270</v>
      </c>
      <c r="E201" s="175" t="s">
        <v>197</v>
      </c>
      <c r="F201" s="139"/>
      <c r="G201" s="168" t="s">
        <v>90</v>
      </c>
      <c r="H201" s="139"/>
      <c r="I201" s="140"/>
      <c r="J201" s="227">
        <v>678.98</v>
      </c>
      <c r="K201" s="160"/>
      <c r="L201" s="229">
        <f t="shared" ref="L201:L216" si="19">J201*13%</f>
        <v>88.267400000000009</v>
      </c>
      <c r="M201" s="161"/>
      <c r="N201" s="157"/>
      <c r="O201" s="227">
        <f t="shared" ref="O201:O209" si="20">+J201+L201+M201</f>
        <v>767.24739999999997</v>
      </c>
      <c r="P201" s="140"/>
    </row>
    <row r="202" spans="2:16">
      <c r="B202" s="139">
        <v>2</v>
      </c>
      <c r="C202" s="218">
        <v>44656</v>
      </c>
      <c r="D202" s="177" t="s">
        <v>271</v>
      </c>
      <c r="E202" s="178" t="s">
        <v>165</v>
      </c>
      <c r="F202" s="139"/>
      <c r="G202" s="168" t="s">
        <v>98</v>
      </c>
      <c r="H202" s="139"/>
      <c r="I202" s="140"/>
      <c r="J202" s="227">
        <v>66.62</v>
      </c>
      <c r="K202" s="160"/>
      <c r="L202" s="229">
        <f t="shared" si="19"/>
        <v>8.6606000000000005</v>
      </c>
      <c r="M202" s="161"/>
      <c r="N202" s="157"/>
      <c r="O202" s="227">
        <f t="shared" si="20"/>
        <v>75.280600000000007</v>
      </c>
      <c r="P202" s="140"/>
    </row>
    <row r="203" spans="2:16">
      <c r="B203" s="139">
        <v>3</v>
      </c>
      <c r="C203" s="218">
        <v>44656</v>
      </c>
      <c r="D203" s="177" t="s">
        <v>272</v>
      </c>
      <c r="E203" s="178" t="s">
        <v>165</v>
      </c>
      <c r="F203" s="139"/>
      <c r="G203" s="168" t="s">
        <v>98</v>
      </c>
      <c r="H203" s="139"/>
      <c r="I203" s="140"/>
      <c r="J203" s="227">
        <v>34.76</v>
      </c>
      <c r="K203" s="160"/>
      <c r="L203" s="229">
        <f t="shared" si="19"/>
        <v>4.5187999999999997</v>
      </c>
      <c r="M203" s="161"/>
      <c r="N203" s="157"/>
      <c r="O203" s="227">
        <f t="shared" si="20"/>
        <v>39.278799999999997</v>
      </c>
      <c r="P203" s="140"/>
    </row>
    <row r="204" spans="2:16">
      <c r="B204" s="139">
        <v>4</v>
      </c>
      <c r="C204" s="218">
        <v>44656</v>
      </c>
      <c r="D204" s="177" t="s">
        <v>273</v>
      </c>
      <c r="E204" s="178" t="s">
        <v>165</v>
      </c>
      <c r="F204" s="139"/>
      <c r="G204" s="168" t="s">
        <v>98</v>
      </c>
      <c r="H204" s="139"/>
      <c r="I204" s="210"/>
      <c r="J204" s="227">
        <v>27.79</v>
      </c>
      <c r="K204" s="160"/>
      <c r="L204" s="229">
        <f t="shared" si="19"/>
        <v>3.6126999999999998</v>
      </c>
      <c r="M204" s="161"/>
      <c r="N204" s="157"/>
      <c r="O204" s="227">
        <f t="shared" si="20"/>
        <v>31.402699999999999</v>
      </c>
      <c r="P204" s="140"/>
    </row>
    <row r="205" spans="2:16">
      <c r="B205" s="139">
        <v>5</v>
      </c>
      <c r="C205" s="218">
        <v>44656</v>
      </c>
      <c r="D205" s="177" t="s">
        <v>274</v>
      </c>
      <c r="E205" s="178" t="s">
        <v>179</v>
      </c>
      <c r="F205" s="139"/>
      <c r="G205" s="173" t="s">
        <v>100</v>
      </c>
      <c r="H205" s="139"/>
      <c r="I205" s="210"/>
      <c r="J205" s="227">
        <v>98.06</v>
      </c>
      <c r="K205" s="160"/>
      <c r="L205" s="229">
        <f t="shared" si="19"/>
        <v>12.747800000000002</v>
      </c>
      <c r="M205" s="161"/>
      <c r="N205" s="157"/>
      <c r="O205" s="227">
        <f t="shared" si="20"/>
        <v>110.8078</v>
      </c>
      <c r="P205" s="140"/>
    </row>
    <row r="206" spans="2:16">
      <c r="B206" s="139">
        <v>6</v>
      </c>
      <c r="C206" s="218">
        <v>44658</v>
      </c>
      <c r="D206" s="177" t="s">
        <v>275</v>
      </c>
      <c r="E206" s="178" t="s">
        <v>276</v>
      </c>
      <c r="F206" s="139"/>
      <c r="G206" s="173" t="s">
        <v>277</v>
      </c>
      <c r="H206" s="139"/>
      <c r="I206" s="140"/>
      <c r="J206" s="227">
        <v>174.78</v>
      </c>
      <c r="K206" s="160"/>
      <c r="L206" s="229">
        <f t="shared" si="19"/>
        <v>22.721399999999999</v>
      </c>
      <c r="M206" s="161"/>
      <c r="N206" s="157"/>
      <c r="O206" s="227">
        <f t="shared" si="20"/>
        <v>197.50139999999999</v>
      </c>
      <c r="P206" s="140"/>
    </row>
    <row r="207" spans="2:16">
      <c r="B207" s="139">
        <v>7</v>
      </c>
      <c r="C207" s="218">
        <v>44663</v>
      </c>
      <c r="D207" s="177" t="s">
        <v>278</v>
      </c>
      <c r="E207" s="178" t="s">
        <v>183</v>
      </c>
      <c r="F207" s="139"/>
      <c r="G207" s="168" t="s">
        <v>119</v>
      </c>
      <c r="H207" s="139"/>
      <c r="I207" s="140"/>
      <c r="J207" s="227">
        <v>52.52</v>
      </c>
      <c r="K207" s="160"/>
      <c r="L207" s="229">
        <f t="shared" si="19"/>
        <v>6.8276000000000003</v>
      </c>
      <c r="M207" s="161"/>
      <c r="N207" s="157"/>
      <c r="O207" s="227">
        <f t="shared" si="20"/>
        <v>59.3476</v>
      </c>
      <c r="P207" s="140"/>
    </row>
    <row r="208" spans="2:16">
      <c r="B208" s="139">
        <v>8</v>
      </c>
      <c r="C208" s="218">
        <v>44663</v>
      </c>
      <c r="D208" s="177" t="s">
        <v>279</v>
      </c>
      <c r="E208" s="178" t="s">
        <v>165</v>
      </c>
      <c r="F208" s="139"/>
      <c r="G208" s="168" t="s">
        <v>98</v>
      </c>
      <c r="H208" s="209"/>
      <c r="I208" s="140"/>
      <c r="J208" s="227">
        <v>67.599999999999994</v>
      </c>
      <c r="K208" s="160"/>
      <c r="L208" s="229">
        <f t="shared" si="19"/>
        <v>8.7880000000000003</v>
      </c>
      <c r="M208" s="161"/>
      <c r="N208" s="157"/>
      <c r="O208" s="227">
        <f t="shared" si="20"/>
        <v>76.387999999999991</v>
      </c>
      <c r="P208" s="140"/>
    </row>
    <row r="209" spans="2:16">
      <c r="B209" s="139">
        <v>9</v>
      </c>
      <c r="C209" s="218">
        <v>44670</v>
      </c>
      <c r="D209" s="177" t="s">
        <v>280</v>
      </c>
      <c r="E209" s="178" t="s">
        <v>165</v>
      </c>
      <c r="F209" s="139"/>
      <c r="G209" s="168" t="s">
        <v>98</v>
      </c>
      <c r="H209" s="139"/>
      <c r="I209" s="140"/>
      <c r="J209" s="227">
        <v>50.37</v>
      </c>
      <c r="K209" s="160"/>
      <c r="L209" s="229">
        <f t="shared" si="19"/>
        <v>6.5480999999999998</v>
      </c>
      <c r="M209" s="161"/>
      <c r="N209" s="157"/>
      <c r="O209" s="227">
        <f t="shared" si="20"/>
        <v>56.918099999999995</v>
      </c>
      <c r="P209" s="140"/>
    </row>
    <row r="210" spans="2:16">
      <c r="B210" s="139">
        <v>10</v>
      </c>
      <c r="C210" s="218">
        <v>44670</v>
      </c>
      <c r="D210" s="177" t="s">
        <v>281</v>
      </c>
      <c r="E210" s="178" t="s">
        <v>165</v>
      </c>
      <c r="F210" s="139"/>
      <c r="G210" s="168" t="s">
        <v>98</v>
      </c>
      <c r="H210" s="139"/>
      <c r="I210" s="140"/>
      <c r="J210" s="227">
        <v>117.68</v>
      </c>
      <c r="K210" s="160"/>
      <c r="L210" s="229">
        <f t="shared" si="19"/>
        <v>15.298400000000001</v>
      </c>
      <c r="M210" s="161">
        <v>1.18</v>
      </c>
      <c r="N210" s="157"/>
      <c r="O210" s="227">
        <f>+J210+L210+M210+N210</f>
        <v>134.15840000000003</v>
      </c>
      <c r="P210" s="140"/>
    </row>
    <row r="211" spans="2:16">
      <c r="B211" s="139">
        <v>11</v>
      </c>
      <c r="C211" s="218">
        <v>44670</v>
      </c>
      <c r="D211" s="177" t="s">
        <v>282</v>
      </c>
      <c r="E211" s="178" t="s">
        <v>204</v>
      </c>
      <c r="F211" s="139"/>
      <c r="G211" s="208" t="s">
        <v>99</v>
      </c>
      <c r="H211" s="139"/>
      <c r="I211" s="140"/>
      <c r="J211" s="228">
        <v>16.91</v>
      </c>
      <c r="K211" s="240"/>
      <c r="L211" s="239">
        <f t="shared" si="19"/>
        <v>2.1983000000000001</v>
      </c>
      <c r="M211" s="161"/>
      <c r="N211" s="157"/>
      <c r="O211" s="227">
        <f t="shared" ref="O211:O218" si="21">+J211+L211+M211</f>
        <v>19.1083</v>
      </c>
      <c r="P211" s="140"/>
    </row>
    <row r="212" spans="2:16">
      <c r="B212" s="139">
        <v>12</v>
      </c>
      <c r="C212" s="218">
        <v>44676</v>
      </c>
      <c r="D212" s="177" t="s">
        <v>283</v>
      </c>
      <c r="E212" s="178" t="s">
        <v>192</v>
      </c>
      <c r="F212" s="139"/>
      <c r="G212" s="168" t="s">
        <v>96</v>
      </c>
      <c r="H212" s="209"/>
      <c r="I212" s="210"/>
      <c r="J212" s="227">
        <v>5.04</v>
      </c>
      <c r="K212" s="160"/>
      <c r="L212" s="229">
        <f t="shared" si="19"/>
        <v>0.6552</v>
      </c>
      <c r="M212" s="161"/>
      <c r="N212" s="157"/>
      <c r="O212" s="228">
        <f t="shared" si="21"/>
        <v>5.6951999999999998</v>
      </c>
      <c r="P212" s="140"/>
    </row>
    <row r="213" spans="2:16">
      <c r="B213" s="139">
        <v>13</v>
      </c>
      <c r="C213" s="218">
        <v>44676</v>
      </c>
      <c r="D213" s="255" t="s">
        <v>284</v>
      </c>
      <c r="E213" s="178" t="s">
        <v>192</v>
      </c>
      <c r="F213" s="139"/>
      <c r="G213" s="168" t="s">
        <v>96</v>
      </c>
      <c r="H213" s="209"/>
      <c r="I213" s="210"/>
      <c r="J213" s="227">
        <v>223.17</v>
      </c>
      <c r="K213" s="160"/>
      <c r="L213" s="229">
        <f t="shared" si="19"/>
        <v>29.0121</v>
      </c>
      <c r="M213" s="161"/>
      <c r="N213" s="157"/>
      <c r="O213" s="227">
        <f t="shared" si="21"/>
        <v>252.18209999999999</v>
      </c>
      <c r="P213" s="140"/>
    </row>
    <row r="214" spans="2:16">
      <c r="B214" s="139">
        <v>14</v>
      </c>
      <c r="C214" s="218">
        <v>44676</v>
      </c>
      <c r="D214" s="177" t="s">
        <v>285</v>
      </c>
      <c r="E214" s="178" t="s">
        <v>175</v>
      </c>
      <c r="F214" s="139"/>
      <c r="G214" s="208" t="s">
        <v>103</v>
      </c>
      <c r="H214" s="209"/>
      <c r="I214" s="210"/>
      <c r="J214" s="228">
        <v>8.42</v>
      </c>
      <c r="K214" s="240"/>
      <c r="L214" s="239">
        <f t="shared" si="19"/>
        <v>1.0946</v>
      </c>
      <c r="M214" s="161"/>
      <c r="N214" s="157"/>
      <c r="O214" s="227">
        <f t="shared" si="21"/>
        <v>9.5145999999999997</v>
      </c>
      <c r="P214" s="140"/>
    </row>
    <row r="215" spans="2:16">
      <c r="B215" s="139">
        <v>15</v>
      </c>
      <c r="C215" s="218">
        <v>44677</v>
      </c>
      <c r="D215" s="177" t="s">
        <v>286</v>
      </c>
      <c r="E215" s="178" t="s">
        <v>165</v>
      </c>
      <c r="F215" s="139"/>
      <c r="G215" s="168" t="s">
        <v>98</v>
      </c>
      <c r="H215" s="139"/>
      <c r="I215" s="140"/>
      <c r="J215" s="227">
        <v>43.59</v>
      </c>
      <c r="K215" s="160"/>
      <c r="L215" s="229">
        <f t="shared" si="19"/>
        <v>5.6667000000000005</v>
      </c>
      <c r="M215" s="161"/>
      <c r="N215" s="157"/>
      <c r="O215" s="227">
        <f t="shared" si="21"/>
        <v>49.256700000000002</v>
      </c>
      <c r="P215" s="140"/>
    </row>
    <row r="216" spans="2:16">
      <c r="B216" s="139">
        <v>16</v>
      </c>
      <c r="C216" s="218">
        <v>44677</v>
      </c>
      <c r="D216" s="177" t="s">
        <v>287</v>
      </c>
      <c r="E216" s="178" t="s">
        <v>165</v>
      </c>
      <c r="F216" s="139"/>
      <c r="G216" s="168" t="s">
        <v>98</v>
      </c>
      <c r="H216" s="139"/>
      <c r="I216" s="140"/>
      <c r="J216" s="227">
        <v>79.53</v>
      </c>
      <c r="K216" s="160"/>
      <c r="L216" s="229">
        <f t="shared" si="19"/>
        <v>10.338900000000001</v>
      </c>
      <c r="M216" s="161"/>
      <c r="N216" s="157"/>
      <c r="O216" s="227">
        <f t="shared" si="21"/>
        <v>89.868899999999996</v>
      </c>
      <c r="P216" s="140"/>
    </row>
    <row r="217" spans="2:16">
      <c r="B217" s="139">
        <v>17</v>
      </c>
      <c r="C217" s="218">
        <v>44678</v>
      </c>
      <c r="D217" s="177" t="s">
        <v>288</v>
      </c>
      <c r="E217" s="178" t="s">
        <v>204</v>
      </c>
      <c r="F217" s="139"/>
      <c r="G217" s="208" t="s">
        <v>99</v>
      </c>
      <c r="H217" s="139"/>
      <c r="I217" s="140"/>
      <c r="J217" s="228">
        <v>8.44</v>
      </c>
      <c r="K217" s="240"/>
      <c r="L217" s="239">
        <f t="shared" ref="L217:L221" si="22">J217*13%</f>
        <v>1.0972</v>
      </c>
      <c r="M217" s="161"/>
      <c r="N217" s="157"/>
      <c r="O217" s="227">
        <f t="shared" si="21"/>
        <v>9.5371999999999986</v>
      </c>
      <c r="P217" s="140"/>
    </row>
    <row r="218" spans="2:16">
      <c r="B218" s="139">
        <v>18</v>
      </c>
      <c r="C218" s="218">
        <v>44679</v>
      </c>
      <c r="D218" s="177" t="s">
        <v>289</v>
      </c>
      <c r="E218" s="178" t="s">
        <v>179</v>
      </c>
      <c r="F218" s="139"/>
      <c r="G218" s="173" t="s">
        <v>100</v>
      </c>
      <c r="H218" s="139"/>
      <c r="I218" s="210"/>
      <c r="J218" s="227">
        <v>90.75</v>
      </c>
      <c r="K218" s="160"/>
      <c r="L218" s="229">
        <f t="shared" si="22"/>
        <v>11.797500000000001</v>
      </c>
      <c r="M218" s="161"/>
      <c r="N218" s="157"/>
      <c r="O218" s="227">
        <f t="shared" si="21"/>
        <v>102.5475</v>
      </c>
      <c r="P218" s="140"/>
    </row>
    <row r="219" spans="2:16">
      <c r="B219" s="139">
        <v>19</v>
      </c>
      <c r="C219" s="218">
        <v>44679</v>
      </c>
      <c r="D219" s="177" t="s">
        <v>290</v>
      </c>
      <c r="E219" s="178" t="s">
        <v>165</v>
      </c>
      <c r="F219" s="139"/>
      <c r="G219" s="168" t="s">
        <v>98</v>
      </c>
      <c r="H219" s="139"/>
      <c r="I219" s="140"/>
      <c r="J219" s="227">
        <v>19.149999999999999</v>
      </c>
      <c r="K219" s="160"/>
      <c r="L219" s="229">
        <f t="shared" si="22"/>
        <v>2.4895</v>
      </c>
      <c r="M219" s="161"/>
      <c r="N219" s="157"/>
      <c r="O219" s="227">
        <f t="shared" ref="O219" si="23">+J219+L219+M219</f>
        <v>21.639499999999998</v>
      </c>
      <c r="P219" s="140"/>
    </row>
    <row r="220" spans="2:16">
      <c r="B220" s="139">
        <v>20</v>
      </c>
      <c r="C220" s="218">
        <v>44679</v>
      </c>
      <c r="D220" s="177" t="s">
        <v>291</v>
      </c>
      <c r="E220" s="178" t="s">
        <v>292</v>
      </c>
      <c r="F220" s="139"/>
      <c r="G220" s="174" t="s">
        <v>293</v>
      </c>
      <c r="H220" s="139"/>
      <c r="I220" s="140"/>
      <c r="J220" s="229">
        <v>14.38</v>
      </c>
      <c r="K220" s="160"/>
      <c r="L220" s="229">
        <f t="shared" si="22"/>
        <v>1.8694000000000002</v>
      </c>
      <c r="M220" s="161"/>
      <c r="N220" s="157"/>
      <c r="O220" s="227">
        <f t="shared" ref="O220:O221" si="24">+J220+L220+M220+N220</f>
        <v>16.249400000000001</v>
      </c>
      <c r="P220" s="140"/>
    </row>
    <row r="221" spans="2:16">
      <c r="B221" s="139">
        <v>21</v>
      </c>
      <c r="C221" s="218">
        <v>44681</v>
      </c>
      <c r="D221" s="177" t="s">
        <v>294</v>
      </c>
      <c r="E221" s="178" t="s">
        <v>183</v>
      </c>
      <c r="F221" s="139"/>
      <c r="G221" s="168" t="s">
        <v>119</v>
      </c>
      <c r="H221" s="139"/>
      <c r="I221" s="140"/>
      <c r="J221" s="227">
        <v>32.92</v>
      </c>
      <c r="K221" s="160"/>
      <c r="L221" s="229">
        <f t="shared" si="22"/>
        <v>4.2796000000000003</v>
      </c>
      <c r="M221" s="161"/>
      <c r="N221" s="157"/>
      <c r="O221" s="227">
        <f t="shared" si="24"/>
        <v>37.199600000000004</v>
      </c>
      <c r="P221" s="140"/>
    </row>
    <row r="222" spans="2:16">
      <c r="B222" s="139"/>
      <c r="C222" s="225"/>
      <c r="D222" s="203"/>
      <c r="E222" s="205"/>
      <c r="F222" s="139"/>
      <c r="G222" s="226"/>
      <c r="H222" s="139"/>
      <c r="I222" s="140"/>
      <c r="J222" s="204"/>
      <c r="K222" s="160"/>
      <c r="L222" s="204"/>
      <c r="M222" s="161"/>
      <c r="N222" s="157"/>
      <c r="O222" s="22"/>
      <c r="P222" s="140"/>
    </row>
    <row r="223" spans="2:16">
      <c r="B223" s="128"/>
      <c r="C223" s="129"/>
      <c r="D223" s="125"/>
      <c r="E223" s="125"/>
      <c r="F223" s="125"/>
      <c r="G223" s="149" t="s">
        <v>88</v>
      </c>
      <c r="H223" s="130"/>
      <c r="I223" s="130"/>
      <c r="J223" s="230">
        <f>SUM(J201:J221)</f>
        <v>1911.4600000000003</v>
      </c>
      <c r="K223" s="230"/>
      <c r="L223" s="230">
        <f>SUM(L201:L221)</f>
        <v>248.48980000000003</v>
      </c>
      <c r="M223" s="230">
        <f>SUM(M201:M211)</f>
        <v>1.18</v>
      </c>
      <c r="N223" s="230">
        <f>SUM(N201:N221)</f>
        <v>0</v>
      </c>
      <c r="O223" s="230">
        <f>SUM(O201:O221)</f>
        <v>2161.1298000000002</v>
      </c>
      <c r="P223" s="130"/>
    </row>
    <row r="224" spans="2:16">
      <c r="L224" s="164"/>
    </row>
    <row r="225" spans="2:16" ht="15.6">
      <c r="B225" s="147" t="s">
        <v>11</v>
      </c>
      <c r="C225" s="147"/>
      <c r="D225" s="147"/>
      <c r="I225" s="213"/>
      <c r="L225" s="103"/>
      <c r="O225" s="103"/>
      <c r="P225" s="103"/>
    </row>
    <row r="226" spans="2:16" ht="17.399999999999999">
      <c r="B226" s="90" t="s">
        <v>84</v>
      </c>
      <c r="C226" s="83"/>
      <c r="D226" s="83"/>
      <c r="I226" s="47"/>
      <c r="J226" s="206"/>
      <c r="L226" s="103"/>
    </row>
    <row r="227" spans="2:16" ht="15.6">
      <c r="B227" s="83" t="s">
        <v>12</v>
      </c>
      <c r="L227" s="103"/>
    </row>
    <row r="238" spans="2:16" ht="16.2">
      <c r="B238" s="87" t="s">
        <v>15</v>
      </c>
      <c r="C238" s="79"/>
      <c r="D238" s="148" t="s">
        <v>139</v>
      </c>
      <c r="E238" s="79"/>
      <c r="F238" s="79"/>
      <c r="G238" s="79"/>
      <c r="H238" s="115"/>
      <c r="I238" s="115"/>
      <c r="J238" s="115"/>
      <c r="K238" s="162" t="s">
        <v>80</v>
      </c>
      <c r="L238" s="115"/>
      <c r="M238" s="115"/>
      <c r="N238" s="115"/>
      <c r="O238" s="115"/>
      <c r="P238" s="79"/>
    </row>
    <row r="239" spans="2:16" ht="16.2">
      <c r="B239" s="79" t="s">
        <v>140</v>
      </c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</row>
    <row r="240" spans="2:16" ht="16.8">
      <c r="B240" s="79" t="s">
        <v>16</v>
      </c>
      <c r="C240" s="256" t="s">
        <v>295</v>
      </c>
      <c r="D240" s="88" t="s">
        <v>8</v>
      </c>
      <c r="E240" s="80">
        <v>2022</v>
      </c>
      <c r="F240" s="80"/>
      <c r="G240" s="79"/>
      <c r="H240" s="79"/>
      <c r="I240" s="79"/>
      <c r="J240" s="79"/>
      <c r="K240" s="79"/>
      <c r="L240" s="79"/>
      <c r="M240" s="79"/>
      <c r="N240" s="79"/>
      <c r="O240" s="79"/>
      <c r="P240" s="79"/>
    </row>
    <row r="241" spans="2:16">
      <c r="B241" s="131" t="s">
        <v>17</v>
      </c>
      <c r="C241" s="131" t="s">
        <v>18</v>
      </c>
      <c r="D241" s="131" t="s">
        <v>19</v>
      </c>
      <c r="E241" s="131" t="s">
        <v>19</v>
      </c>
      <c r="F241" s="132" t="s">
        <v>44</v>
      </c>
      <c r="G241" s="133"/>
      <c r="H241" s="134"/>
      <c r="I241" s="135"/>
      <c r="J241" s="134"/>
      <c r="K241" s="135"/>
      <c r="L241" s="136"/>
      <c r="M241" s="135" t="s">
        <v>85</v>
      </c>
      <c r="N241" s="137" t="s">
        <v>56</v>
      </c>
      <c r="O241" s="138" t="s">
        <v>20</v>
      </c>
      <c r="P241" s="132" t="s">
        <v>47</v>
      </c>
    </row>
    <row r="242" spans="2:16">
      <c r="B242" s="139" t="s">
        <v>21</v>
      </c>
      <c r="C242" s="139" t="s">
        <v>22</v>
      </c>
      <c r="D242" s="139" t="s">
        <v>23</v>
      </c>
      <c r="E242" s="139" t="s">
        <v>24</v>
      </c>
      <c r="F242" s="140" t="s">
        <v>45</v>
      </c>
      <c r="G242" s="81" t="s">
        <v>25</v>
      </c>
      <c r="H242" s="211" t="s">
        <v>26</v>
      </c>
      <c r="I242" s="214"/>
      <c r="J242" s="212" t="s">
        <v>27</v>
      </c>
      <c r="K242" s="215"/>
      <c r="L242" s="216"/>
      <c r="M242" s="141" t="s">
        <v>86</v>
      </c>
      <c r="N242" s="142" t="s">
        <v>57</v>
      </c>
      <c r="O242" s="143" t="s">
        <v>28</v>
      </c>
      <c r="P242" s="140" t="s">
        <v>48</v>
      </c>
    </row>
    <row r="243" spans="2:16">
      <c r="B243" s="144"/>
      <c r="C243" s="144"/>
      <c r="D243" s="144"/>
      <c r="E243" s="144"/>
      <c r="F243" s="145" t="s">
        <v>46</v>
      </c>
      <c r="G243" s="146"/>
      <c r="H243" s="144" t="s">
        <v>29</v>
      </c>
      <c r="I243" s="145" t="s">
        <v>30</v>
      </c>
      <c r="J243" s="144" t="s">
        <v>29</v>
      </c>
      <c r="K243" s="145" t="s">
        <v>30</v>
      </c>
      <c r="L243" s="145" t="s">
        <v>31</v>
      </c>
      <c r="M243" s="212" t="s">
        <v>87</v>
      </c>
      <c r="N243" s="211" t="s">
        <v>58</v>
      </c>
      <c r="O243" s="212"/>
      <c r="P243" s="140" t="s">
        <v>49</v>
      </c>
    </row>
    <row r="244" spans="2:16">
      <c r="B244" s="139">
        <v>1</v>
      </c>
      <c r="C244" s="218">
        <v>44660</v>
      </c>
      <c r="D244" s="177" t="s">
        <v>296</v>
      </c>
      <c r="E244" s="178" t="s">
        <v>297</v>
      </c>
      <c r="F244" s="139"/>
      <c r="G244" s="173" t="s">
        <v>298</v>
      </c>
      <c r="H244" s="139"/>
      <c r="I244" s="140"/>
      <c r="J244" s="227">
        <v>22.03</v>
      </c>
      <c r="K244" s="160"/>
      <c r="L244" s="229">
        <f t="shared" ref="L244:L264" si="25">J244*13%</f>
        <v>2.8639000000000001</v>
      </c>
      <c r="M244" s="161"/>
      <c r="N244" s="157"/>
      <c r="O244" s="227">
        <f t="shared" ref="O244:O252" si="26">+J244+L244+M244</f>
        <v>24.893900000000002</v>
      </c>
      <c r="P244" s="140"/>
    </row>
    <row r="245" spans="2:16">
      <c r="B245" s="139">
        <v>2</v>
      </c>
      <c r="C245" s="282">
        <v>44657</v>
      </c>
      <c r="D245" s="283" t="s">
        <v>299</v>
      </c>
      <c r="E245" s="284" t="s">
        <v>170</v>
      </c>
      <c r="F245" s="209"/>
      <c r="G245" s="208" t="s">
        <v>93</v>
      </c>
      <c r="H245" s="209"/>
      <c r="I245" s="210"/>
      <c r="J245" s="228">
        <v>26.55</v>
      </c>
      <c r="K245" s="240"/>
      <c r="L245" s="239">
        <f t="shared" si="25"/>
        <v>3.4515000000000002</v>
      </c>
      <c r="M245" s="242"/>
      <c r="N245" s="243"/>
      <c r="O245" s="228">
        <f t="shared" si="26"/>
        <v>30.0015</v>
      </c>
      <c r="P245" s="140"/>
    </row>
    <row r="246" spans="2:16">
      <c r="B246" s="139">
        <v>3</v>
      </c>
      <c r="C246" s="282">
        <v>44657</v>
      </c>
      <c r="D246" s="283" t="s">
        <v>300</v>
      </c>
      <c r="E246" s="284" t="s">
        <v>204</v>
      </c>
      <c r="F246" s="209"/>
      <c r="G246" s="208" t="s">
        <v>99</v>
      </c>
      <c r="H246" s="209"/>
      <c r="I246" s="210"/>
      <c r="J246" s="228">
        <v>8.44</v>
      </c>
      <c r="K246" s="240"/>
      <c r="L246" s="239">
        <f t="shared" si="25"/>
        <v>1.0972</v>
      </c>
      <c r="M246" s="242"/>
      <c r="N246" s="243"/>
      <c r="O246" s="228">
        <f t="shared" si="26"/>
        <v>9.5371999999999986</v>
      </c>
      <c r="P246" s="140"/>
    </row>
    <row r="247" spans="2:16">
      <c r="B247" s="139">
        <v>4</v>
      </c>
      <c r="C247" s="282">
        <v>44670</v>
      </c>
      <c r="D247" s="283" t="s">
        <v>301</v>
      </c>
      <c r="E247" s="284" t="s">
        <v>175</v>
      </c>
      <c r="F247" s="209"/>
      <c r="G247" s="208" t="s">
        <v>103</v>
      </c>
      <c r="H247" s="209"/>
      <c r="I247" s="210"/>
      <c r="J247" s="228">
        <v>8.43</v>
      </c>
      <c r="K247" s="240"/>
      <c r="L247" s="239">
        <f t="shared" si="25"/>
        <v>1.0959000000000001</v>
      </c>
      <c r="M247" s="242"/>
      <c r="N247" s="243"/>
      <c r="O247" s="228">
        <f t="shared" si="26"/>
        <v>9.5259</v>
      </c>
      <c r="P247" s="140"/>
    </row>
    <row r="248" spans="2:16">
      <c r="B248" s="139">
        <v>5</v>
      </c>
      <c r="C248" s="282">
        <v>44673</v>
      </c>
      <c r="D248" s="283" t="s">
        <v>302</v>
      </c>
      <c r="E248" s="284" t="s">
        <v>204</v>
      </c>
      <c r="F248" s="209"/>
      <c r="G248" s="208" t="s">
        <v>99</v>
      </c>
      <c r="H248" s="209"/>
      <c r="I248" s="210"/>
      <c r="J248" s="228">
        <v>16.850000000000001</v>
      </c>
      <c r="K248" s="240"/>
      <c r="L248" s="239">
        <f t="shared" si="25"/>
        <v>2.1905000000000001</v>
      </c>
      <c r="M248" s="242"/>
      <c r="N248" s="243"/>
      <c r="O248" s="228">
        <f t="shared" si="26"/>
        <v>19.040500000000002</v>
      </c>
      <c r="P248" s="140"/>
    </row>
    <row r="249" spans="2:16">
      <c r="B249" s="139">
        <v>6</v>
      </c>
      <c r="C249" s="282">
        <v>44679</v>
      </c>
      <c r="D249" s="283" t="s">
        <v>303</v>
      </c>
      <c r="E249" s="284" t="s">
        <v>304</v>
      </c>
      <c r="F249" s="209"/>
      <c r="G249" s="208" t="s">
        <v>305</v>
      </c>
      <c r="H249" s="209"/>
      <c r="I249" s="210"/>
      <c r="J249" s="228">
        <v>21.088000000000001</v>
      </c>
      <c r="K249" s="240"/>
      <c r="L249" s="239">
        <f t="shared" si="25"/>
        <v>2.7414400000000003</v>
      </c>
      <c r="M249" s="242"/>
      <c r="N249" s="243"/>
      <c r="O249" s="228">
        <f t="shared" si="26"/>
        <v>23.829440000000002</v>
      </c>
      <c r="P249" s="140"/>
    </row>
    <row r="250" spans="2:16">
      <c r="B250" s="139">
        <v>7</v>
      </c>
      <c r="C250" s="218">
        <v>44684</v>
      </c>
      <c r="D250" s="177" t="s">
        <v>306</v>
      </c>
      <c r="E250" s="178" t="s">
        <v>165</v>
      </c>
      <c r="F250" s="139"/>
      <c r="G250" s="168" t="s">
        <v>98</v>
      </c>
      <c r="H250" s="139"/>
      <c r="I250" s="140"/>
      <c r="J250" s="227">
        <v>87.79</v>
      </c>
      <c r="K250" s="160"/>
      <c r="L250" s="229">
        <f t="shared" si="25"/>
        <v>11.412700000000001</v>
      </c>
      <c r="M250" s="161"/>
      <c r="N250" s="157"/>
      <c r="O250" s="227">
        <f t="shared" si="26"/>
        <v>99.202700000000007</v>
      </c>
      <c r="P250" s="140"/>
    </row>
    <row r="251" spans="2:16">
      <c r="B251" s="139">
        <v>8</v>
      </c>
      <c r="C251" s="218">
        <v>44686</v>
      </c>
      <c r="D251" s="177" t="s">
        <v>307</v>
      </c>
      <c r="E251" s="175" t="s">
        <v>197</v>
      </c>
      <c r="F251" s="139"/>
      <c r="G251" s="168" t="s">
        <v>90</v>
      </c>
      <c r="H251" s="209"/>
      <c r="I251" s="140"/>
      <c r="J251" s="227">
        <v>630</v>
      </c>
      <c r="K251" s="160"/>
      <c r="L251" s="229">
        <f t="shared" si="25"/>
        <v>81.900000000000006</v>
      </c>
      <c r="M251" s="161"/>
      <c r="N251" s="157"/>
      <c r="O251" s="227">
        <f t="shared" si="26"/>
        <v>711.9</v>
      </c>
      <c r="P251" s="140"/>
    </row>
    <row r="252" spans="2:16">
      <c r="B252" s="139">
        <v>9</v>
      </c>
      <c r="C252" s="218">
        <v>44686</v>
      </c>
      <c r="D252" s="177" t="s">
        <v>308</v>
      </c>
      <c r="E252" s="175" t="s">
        <v>197</v>
      </c>
      <c r="F252" s="139"/>
      <c r="G252" s="168" t="s">
        <v>90</v>
      </c>
      <c r="H252" s="139"/>
      <c r="I252" s="140"/>
      <c r="J252" s="227">
        <v>52.41</v>
      </c>
      <c r="K252" s="160"/>
      <c r="L252" s="229">
        <f t="shared" si="25"/>
        <v>6.8132999999999999</v>
      </c>
      <c r="M252" s="161"/>
      <c r="N252" s="157"/>
      <c r="O252" s="227">
        <f t="shared" si="26"/>
        <v>59.223299999999995</v>
      </c>
      <c r="P252" s="140"/>
    </row>
    <row r="253" spans="2:16">
      <c r="B253" s="139">
        <v>10</v>
      </c>
      <c r="C253" s="282">
        <v>44687</v>
      </c>
      <c r="D253" s="283" t="s">
        <v>309</v>
      </c>
      <c r="E253" s="284" t="s">
        <v>170</v>
      </c>
      <c r="F253" s="209"/>
      <c r="G253" s="208" t="s">
        <v>93</v>
      </c>
      <c r="H253" s="209"/>
      <c r="I253" s="210"/>
      <c r="J253" s="228">
        <v>26.55</v>
      </c>
      <c r="K253" s="240"/>
      <c r="L253" s="239">
        <f t="shared" si="25"/>
        <v>3.4515000000000002</v>
      </c>
      <c r="M253" s="242"/>
      <c r="N253" s="243"/>
      <c r="O253" s="228">
        <f>+J253+L253+M253+N253</f>
        <v>30.0015</v>
      </c>
      <c r="P253" s="140"/>
    </row>
    <row r="254" spans="2:16">
      <c r="B254" s="139">
        <v>11</v>
      </c>
      <c r="C254" s="282">
        <v>44689</v>
      </c>
      <c r="D254" s="283" t="s">
        <v>310</v>
      </c>
      <c r="E254" s="284" t="s">
        <v>175</v>
      </c>
      <c r="F254" s="209"/>
      <c r="G254" s="208" t="s">
        <v>103</v>
      </c>
      <c r="H254" s="209"/>
      <c r="I254" s="210"/>
      <c r="J254" s="228">
        <v>8.43</v>
      </c>
      <c r="K254" s="240"/>
      <c r="L254" s="239">
        <f t="shared" si="25"/>
        <v>1.0959000000000001</v>
      </c>
      <c r="M254" s="242"/>
      <c r="N254" s="243"/>
      <c r="O254" s="228">
        <f t="shared" ref="O254:O262" si="27">+J254+L254+M254</f>
        <v>9.5259</v>
      </c>
      <c r="P254" s="140"/>
    </row>
    <row r="255" spans="2:16">
      <c r="B255" s="139">
        <v>12</v>
      </c>
      <c r="C255" s="218">
        <v>44690</v>
      </c>
      <c r="D255" s="177" t="s">
        <v>311</v>
      </c>
      <c r="E255" s="205" t="s">
        <v>181</v>
      </c>
      <c r="F255" s="139"/>
      <c r="G255" s="168" t="s">
        <v>94</v>
      </c>
      <c r="H255" s="209"/>
      <c r="I255" s="210"/>
      <c r="J255" s="227">
        <v>40.619999999999997</v>
      </c>
      <c r="K255" s="160"/>
      <c r="L255" s="229">
        <f t="shared" si="25"/>
        <v>5.2805999999999997</v>
      </c>
      <c r="M255" s="161"/>
      <c r="N255" s="157"/>
      <c r="O255" s="228">
        <f t="shared" si="27"/>
        <v>45.900599999999997</v>
      </c>
      <c r="P255" s="140"/>
    </row>
    <row r="256" spans="2:16">
      <c r="B256" s="139">
        <v>13</v>
      </c>
      <c r="C256" s="218">
        <v>44690</v>
      </c>
      <c r="D256" s="177" t="s">
        <v>312</v>
      </c>
      <c r="E256" s="178" t="s">
        <v>165</v>
      </c>
      <c r="F256" s="139"/>
      <c r="G256" s="168" t="s">
        <v>98</v>
      </c>
      <c r="H256" s="209"/>
      <c r="I256" s="210"/>
      <c r="J256" s="227">
        <v>145.38999999999999</v>
      </c>
      <c r="K256" s="160"/>
      <c r="L256" s="229">
        <f t="shared" si="25"/>
        <v>18.900700000000001</v>
      </c>
      <c r="M256" s="161"/>
      <c r="N256" s="229">
        <v>1.45</v>
      </c>
      <c r="O256" s="227">
        <f>+J256+L256+M256+N256</f>
        <v>165.74069999999998</v>
      </c>
      <c r="P256" s="140"/>
    </row>
    <row r="257" spans="2:16">
      <c r="B257" s="139">
        <v>14</v>
      </c>
      <c r="C257" s="282">
        <v>44693</v>
      </c>
      <c r="D257" s="283" t="s">
        <v>313</v>
      </c>
      <c r="E257" s="284" t="s">
        <v>200</v>
      </c>
      <c r="F257" s="209"/>
      <c r="G257" s="208" t="s">
        <v>97</v>
      </c>
      <c r="H257" s="209"/>
      <c r="I257" s="210"/>
      <c r="J257" s="228">
        <v>8.42</v>
      </c>
      <c r="K257" s="240"/>
      <c r="L257" s="239">
        <f t="shared" si="25"/>
        <v>1.0946</v>
      </c>
      <c r="M257" s="242"/>
      <c r="N257" s="243"/>
      <c r="O257" s="228">
        <f t="shared" si="27"/>
        <v>9.5145999999999997</v>
      </c>
      <c r="P257" s="140"/>
    </row>
    <row r="258" spans="2:16">
      <c r="B258" s="139">
        <v>15</v>
      </c>
      <c r="C258" s="218">
        <v>44695</v>
      </c>
      <c r="D258" s="177" t="s">
        <v>314</v>
      </c>
      <c r="E258" s="178" t="s">
        <v>259</v>
      </c>
      <c r="F258" s="139"/>
      <c r="G258" s="173" t="s">
        <v>260</v>
      </c>
      <c r="H258" s="139"/>
      <c r="I258" s="140"/>
      <c r="J258" s="227">
        <v>1.65</v>
      </c>
      <c r="K258" s="160"/>
      <c r="L258" s="229">
        <f t="shared" si="25"/>
        <v>0.2145</v>
      </c>
      <c r="M258" s="161"/>
      <c r="N258" s="157"/>
      <c r="O258" s="227">
        <f t="shared" si="27"/>
        <v>1.8644999999999998</v>
      </c>
      <c r="P258" s="140"/>
    </row>
    <row r="259" spans="2:16">
      <c r="B259" s="139">
        <v>16</v>
      </c>
      <c r="C259" s="218">
        <v>44698</v>
      </c>
      <c r="D259" s="177" t="s">
        <v>315</v>
      </c>
      <c r="E259" s="178" t="s">
        <v>192</v>
      </c>
      <c r="F259" s="139"/>
      <c r="G259" s="168" t="s">
        <v>96</v>
      </c>
      <c r="H259" s="139"/>
      <c r="I259" s="140"/>
      <c r="J259" s="227">
        <v>63.23</v>
      </c>
      <c r="K259" s="160"/>
      <c r="L259" s="229">
        <f t="shared" si="25"/>
        <v>8.2198999999999991</v>
      </c>
      <c r="M259" s="161"/>
      <c r="N259" s="157"/>
      <c r="O259" s="227">
        <f t="shared" si="27"/>
        <v>71.4499</v>
      </c>
      <c r="P259" s="140"/>
    </row>
    <row r="260" spans="2:16">
      <c r="B260" s="139">
        <v>17</v>
      </c>
      <c r="C260" s="218">
        <v>44698</v>
      </c>
      <c r="D260" s="177" t="s">
        <v>316</v>
      </c>
      <c r="E260" s="178" t="s">
        <v>192</v>
      </c>
      <c r="F260" s="139"/>
      <c r="G260" s="168" t="s">
        <v>96</v>
      </c>
      <c r="H260" s="139"/>
      <c r="I260" s="140"/>
      <c r="J260" s="227">
        <v>24.13</v>
      </c>
      <c r="K260" s="160"/>
      <c r="L260" s="229">
        <f t="shared" si="25"/>
        <v>3.1368999999999998</v>
      </c>
      <c r="M260" s="161"/>
      <c r="N260" s="157"/>
      <c r="O260" s="227">
        <f t="shared" si="27"/>
        <v>27.2669</v>
      </c>
      <c r="P260" s="140"/>
    </row>
    <row r="261" spans="2:16">
      <c r="B261" s="139">
        <v>18</v>
      </c>
      <c r="C261" s="218">
        <v>44698</v>
      </c>
      <c r="D261" s="177" t="s">
        <v>317</v>
      </c>
      <c r="E261" s="178" t="s">
        <v>165</v>
      </c>
      <c r="F261" s="139"/>
      <c r="G261" s="168" t="s">
        <v>98</v>
      </c>
      <c r="H261" s="139"/>
      <c r="I261" s="210"/>
      <c r="J261" s="227">
        <v>107.83</v>
      </c>
      <c r="K261" s="160"/>
      <c r="L261" s="229">
        <f t="shared" si="25"/>
        <v>14.017900000000001</v>
      </c>
      <c r="M261" s="161"/>
      <c r="N261" s="229">
        <v>1.08</v>
      </c>
      <c r="O261" s="227">
        <f>+J261+L261+M261+N261</f>
        <v>122.92789999999999</v>
      </c>
      <c r="P261" s="140"/>
    </row>
    <row r="262" spans="2:16">
      <c r="B262" s="139">
        <v>19</v>
      </c>
      <c r="C262" s="282">
        <v>44699</v>
      </c>
      <c r="D262" s="283" t="s">
        <v>318</v>
      </c>
      <c r="E262" s="284" t="s">
        <v>175</v>
      </c>
      <c r="F262" s="209"/>
      <c r="G262" s="208" t="s">
        <v>103</v>
      </c>
      <c r="H262" s="209"/>
      <c r="I262" s="210"/>
      <c r="J262" s="228">
        <v>16.850000000000001</v>
      </c>
      <c r="K262" s="240"/>
      <c r="L262" s="239">
        <f t="shared" si="25"/>
        <v>2.1905000000000001</v>
      </c>
      <c r="M262" s="242"/>
      <c r="N262" s="243"/>
      <c r="O262" s="228">
        <f t="shared" si="27"/>
        <v>19.040500000000002</v>
      </c>
      <c r="P262" s="140"/>
    </row>
    <row r="263" spans="2:16">
      <c r="B263" s="139">
        <v>20</v>
      </c>
      <c r="C263" s="218">
        <v>44702</v>
      </c>
      <c r="D263" s="177" t="s">
        <v>319</v>
      </c>
      <c r="E263" s="178" t="s">
        <v>192</v>
      </c>
      <c r="F263" s="139"/>
      <c r="G263" s="168" t="s">
        <v>96</v>
      </c>
      <c r="H263" s="139"/>
      <c r="I263" s="140"/>
      <c r="J263" s="229">
        <v>203.99</v>
      </c>
      <c r="K263" s="160"/>
      <c r="L263" s="229">
        <f t="shared" si="25"/>
        <v>26.518700000000003</v>
      </c>
      <c r="M263" s="161"/>
      <c r="N263" s="157"/>
      <c r="O263" s="227">
        <f t="shared" ref="O263:O264" si="28">+J263+L263+M263+N263</f>
        <v>230.5087</v>
      </c>
      <c r="P263" s="140"/>
    </row>
    <row r="264" spans="2:16">
      <c r="B264" s="139">
        <v>21</v>
      </c>
      <c r="C264" s="218">
        <v>44704</v>
      </c>
      <c r="D264" s="177" t="s">
        <v>320</v>
      </c>
      <c r="E264" s="178" t="s">
        <v>165</v>
      </c>
      <c r="F264" s="139"/>
      <c r="G264" s="168" t="s">
        <v>98</v>
      </c>
      <c r="H264" s="139"/>
      <c r="I264" s="140"/>
      <c r="J264" s="227">
        <v>46.17</v>
      </c>
      <c r="K264" s="160"/>
      <c r="L264" s="229">
        <f t="shared" si="25"/>
        <v>6.0021000000000004</v>
      </c>
      <c r="M264" s="161"/>
      <c r="N264" s="157"/>
      <c r="O264" s="227">
        <f t="shared" si="28"/>
        <v>52.1721</v>
      </c>
      <c r="P264" s="140"/>
    </row>
    <row r="265" spans="2:16">
      <c r="B265" s="139">
        <v>22</v>
      </c>
      <c r="C265" s="218">
        <v>44704</v>
      </c>
      <c r="D265" s="177" t="s">
        <v>321</v>
      </c>
      <c r="E265" s="178" t="s">
        <v>165</v>
      </c>
      <c r="F265" s="139"/>
      <c r="G265" s="168" t="s">
        <v>98</v>
      </c>
      <c r="H265" s="139"/>
      <c r="I265" s="140"/>
      <c r="J265" s="227">
        <v>54.04</v>
      </c>
      <c r="K265" s="160"/>
      <c r="L265" s="229">
        <f t="shared" ref="L265" si="29">J265*13%</f>
        <v>7.0251999999999999</v>
      </c>
      <c r="M265" s="161"/>
      <c r="N265" s="157"/>
      <c r="O265" s="227">
        <f t="shared" ref="O265" si="30">+J265+L265+M265+N265</f>
        <v>61.065199999999997</v>
      </c>
      <c r="P265" s="140"/>
    </row>
    <row r="266" spans="2:16">
      <c r="B266" s="139">
        <v>23</v>
      </c>
      <c r="C266" s="218">
        <v>44704</v>
      </c>
      <c r="D266" s="177" t="s">
        <v>322</v>
      </c>
      <c r="E266" s="178" t="s">
        <v>165</v>
      </c>
      <c r="F266" s="139"/>
      <c r="G266" s="168" t="s">
        <v>98</v>
      </c>
      <c r="H266" s="139"/>
      <c r="I266" s="140"/>
      <c r="J266" s="227">
        <v>9.2899999999999991</v>
      </c>
      <c r="K266" s="160"/>
      <c r="L266" s="229">
        <f t="shared" ref="L266:L275" si="31">J266*13%</f>
        <v>1.2077</v>
      </c>
      <c r="M266" s="161"/>
      <c r="N266" s="157"/>
      <c r="O266" s="227">
        <f t="shared" ref="O266:O275" si="32">+J266+L266+M266+N266</f>
        <v>10.497699999999998</v>
      </c>
      <c r="P266" s="140"/>
    </row>
    <row r="267" spans="2:16">
      <c r="B267" s="139">
        <v>24</v>
      </c>
      <c r="C267" s="218">
        <v>44705</v>
      </c>
      <c r="D267" s="203" t="s">
        <v>323</v>
      </c>
      <c r="E267" s="178" t="s">
        <v>324</v>
      </c>
      <c r="F267" s="139"/>
      <c r="G267" s="168" t="s">
        <v>101</v>
      </c>
      <c r="H267" s="139"/>
      <c r="I267" s="140"/>
      <c r="J267" s="229">
        <v>14.82</v>
      </c>
      <c r="K267" s="160"/>
      <c r="L267" s="229">
        <f t="shared" si="31"/>
        <v>1.9266000000000001</v>
      </c>
      <c r="M267" s="161"/>
      <c r="N267" s="157"/>
      <c r="O267" s="229">
        <f t="shared" si="32"/>
        <v>16.746600000000001</v>
      </c>
      <c r="P267" s="140"/>
    </row>
    <row r="268" spans="2:16">
      <c r="B268" s="139">
        <v>25</v>
      </c>
      <c r="C268" s="282">
        <v>44705</v>
      </c>
      <c r="D268" s="285" t="s">
        <v>325</v>
      </c>
      <c r="E268" s="286" t="s">
        <v>154</v>
      </c>
      <c r="F268" s="209"/>
      <c r="G268" s="217" t="s">
        <v>105</v>
      </c>
      <c r="H268" s="209"/>
      <c r="I268" s="210"/>
      <c r="J268" s="239">
        <v>8.42</v>
      </c>
      <c r="K268" s="240"/>
      <c r="L268" s="239">
        <f t="shared" si="31"/>
        <v>1.0946</v>
      </c>
      <c r="M268" s="242"/>
      <c r="N268" s="243"/>
      <c r="O268" s="239">
        <f t="shared" si="32"/>
        <v>9.5145999999999997</v>
      </c>
      <c r="P268" s="140"/>
    </row>
    <row r="269" spans="2:16">
      <c r="B269" s="139">
        <v>26</v>
      </c>
      <c r="C269" s="282">
        <v>44706</v>
      </c>
      <c r="D269" s="285" t="s">
        <v>326</v>
      </c>
      <c r="E269" s="284" t="s">
        <v>304</v>
      </c>
      <c r="F269" s="209"/>
      <c r="G269" s="208" t="s">
        <v>305</v>
      </c>
      <c r="H269" s="209"/>
      <c r="I269" s="210"/>
      <c r="J269" s="239">
        <v>16.878</v>
      </c>
      <c r="K269" s="240"/>
      <c r="L269" s="239">
        <f t="shared" si="31"/>
        <v>2.19414</v>
      </c>
      <c r="M269" s="242"/>
      <c r="N269" s="243"/>
      <c r="O269" s="239">
        <f t="shared" si="32"/>
        <v>19.072140000000001</v>
      </c>
      <c r="P269" s="140"/>
    </row>
    <row r="270" spans="2:16">
      <c r="B270" s="139">
        <v>27</v>
      </c>
      <c r="C270" s="218">
        <v>44707</v>
      </c>
      <c r="D270" s="203" t="s">
        <v>327</v>
      </c>
      <c r="E270" s="178" t="s">
        <v>297</v>
      </c>
      <c r="F270" s="139"/>
      <c r="G270" s="173" t="s">
        <v>298</v>
      </c>
      <c r="H270" s="139"/>
      <c r="I270" s="140"/>
      <c r="J270" s="229">
        <v>4.5599999999999996</v>
      </c>
      <c r="K270" s="160"/>
      <c r="L270" s="229">
        <f t="shared" si="31"/>
        <v>0.59279999999999999</v>
      </c>
      <c r="M270" s="161"/>
      <c r="N270" s="157"/>
      <c r="O270" s="229">
        <f t="shared" si="32"/>
        <v>5.1527999999999992</v>
      </c>
      <c r="P270" s="140"/>
    </row>
    <row r="271" spans="2:16">
      <c r="B271" s="139">
        <v>28</v>
      </c>
      <c r="C271" s="282">
        <v>44707</v>
      </c>
      <c r="D271" s="285" t="s">
        <v>328</v>
      </c>
      <c r="E271" s="284" t="s">
        <v>200</v>
      </c>
      <c r="F271" s="209"/>
      <c r="G271" s="208" t="s">
        <v>97</v>
      </c>
      <c r="H271" s="209"/>
      <c r="I271" s="210"/>
      <c r="J271" s="239">
        <v>8.42</v>
      </c>
      <c r="K271" s="240"/>
      <c r="L271" s="239">
        <f t="shared" si="31"/>
        <v>1.0946</v>
      </c>
      <c r="M271" s="242"/>
      <c r="N271" s="243"/>
      <c r="O271" s="239">
        <f t="shared" si="32"/>
        <v>9.5145999999999997</v>
      </c>
      <c r="P271" s="140"/>
    </row>
    <row r="272" spans="2:16">
      <c r="B272" s="139">
        <v>29</v>
      </c>
      <c r="C272" s="218">
        <v>44709</v>
      </c>
      <c r="D272" s="203" t="s">
        <v>329</v>
      </c>
      <c r="E272" s="178" t="s">
        <v>246</v>
      </c>
      <c r="F272" s="139"/>
      <c r="G272" s="173" t="s">
        <v>330</v>
      </c>
      <c r="H272" s="209"/>
      <c r="I272" s="210"/>
      <c r="J272" s="229">
        <v>6.76</v>
      </c>
      <c r="K272" s="160"/>
      <c r="L272" s="229">
        <f t="shared" si="31"/>
        <v>0.87880000000000003</v>
      </c>
      <c r="M272" s="161"/>
      <c r="N272" s="157"/>
      <c r="O272" s="229">
        <f t="shared" si="32"/>
        <v>7.6387999999999998</v>
      </c>
      <c r="P272" s="140"/>
    </row>
    <row r="273" spans="2:16">
      <c r="B273" s="139">
        <v>30</v>
      </c>
      <c r="C273" s="218">
        <v>44711</v>
      </c>
      <c r="D273" s="203" t="s">
        <v>331</v>
      </c>
      <c r="E273" s="178" t="s">
        <v>165</v>
      </c>
      <c r="F273" s="139"/>
      <c r="G273" s="168" t="s">
        <v>98</v>
      </c>
      <c r="H273" s="209"/>
      <c r="I273" s="210"/>
      <c r="J273" s="229">
        <v>92.39</v>
      </c>
      <c r="K273" s="160"/>
      <c r="L273" s="229">
        <f t="shared" si="31"/>
        <v>12.0107</v>
      </c>
      <c r="M273" s="161"/>
      <c r="N273" s="157"/>
      <c r="O273" s="229">
        <f t="shared" si="32"/>
        <v>104.4007</v>
      </c>
      <c r="P273" s="140"/>
    </row>
    <row r="274" spans="2:16">
      <c r="B274" s="139">
        <v>31</v>
      </c>
      <c r="C274" s="218">
        <v>44711</v>
      </c>
      <c r="D274" s="203" t="s">
        <v>332</v>
      </c>
      <c r="E274" s="178" t="s">
        <v>179</v>
      </c>
      <c r="F274" s="139"/>
      <c r="G274" s="173" t="s">
        <v>100</v>
      </c>
      <c r="H274" s="209"/>
      <c r="I274" s="210"/>
      <c r="J274" s="229">
        <v>76.14</v>
      </c>
      <c r="K274" s="160"/>
      <c r="L274" s="229">
        <f t="shared" si="31"/>
        <v>9.898200000000001</v>
      </c>
      <c r="M274" s="161"/>
      <c r="N274" s="157"/>
      <c r="O274" s="229">
        <f t="shared" si="32"/>
        <v>86.038200000000003</v>
      </c>
      <c r="P274" s="140"/>
    </row>
    <row r="275" spans="2:16">
      <c r="B275" s="139">
        <v>32</v>
      </c>
      <c r="C275" s="218">
        <v>44711</v>
      </c>
      <c r="D275" s="203" t="s">
        <v>333</v>
      </c>
      <c r="E275" s="178" t="s">
        <v>257</v>
      </c>
      <c r="F275" s="139"/>
      <c r="G275" s="174" t="s">
        <v>102</v>
      </c>
      <c r="H275" s="209"/>
      <c r="I275" s="210"/>
      <c r="J275" s="229">
        <v>19.829999999999998</v>
      </c>
      <c r="K275" s="160"/>
      <c r="L275" s="229">
        <f t="shared" si="31"/>
        <v>2.5779000000000001</v>
      </c>
      <c r="M275" s="161"/>
      <c r="N275" s="157"/>
      <c r="O275" s="229">
        <f t="shared" si="32"/>
        <v>22.407899999999998</v>
      </c>
      <c r="P275" s="140"/>
    </row>
    <row r="276" spans="2:16">
      <c r="B276" s="139"/>
      <c r="C276" s="225"/>
      <c r="D276" s="203"/>
      <c r="E276" s="205"/>
      <c r="F276" s="139"/>
      <c r="G276" s="226"/>
      <c r="H276" s="139"/>
      <c r="I276" s="140"/>
      <c r="J276" s="204"/>
      <c r="K276" s="160"/>
      <c r="L276" s="204"/>
      <c r="M276" s="161"/>
      <c r="N276" s="157"/>
      <c r="O276" s="22"/>
      <c r="P276" s="140"/>
    </row>
    <row r="277" spans="2:16">
      <c r="B277" s="128"/>
      <c r="C277" s="129"/>
      <c r="D277" s="125"/>
      <c r="E277" s="125"/>
      <c r="F277" s="125"/>
      <c r="G277" s="149" t="s">
        <v>88</v>
      </c>
      <c r="H277" s="130"/>
      <c r="I277" s="130"/>
      <c r="J277" s="230">
        <f>SUM(J244:J275)</f>
        <v>1878.3960000000002</v>
      </c>
      <c r="K277" s="230"/>
      <c r="L277" s="230">
        <f>SUM(L244:L275)</f>
        <v>244.1914800000001</v>
      </c>
      <c r="M277" s="230">
        <f>SUM(M244:M254)</f>
        <v>0</v>
      </c>
      <c r="N277" s="230">
        <f>SUM(N244:N275)</f>
        <v>2.5300000000000002</v>
      </c>
      <c r="O277" s="230">
        <f>SUM(O244:O275)</f>
        <v>2125.1174799999999</v>
      </c>
      <c r="P277" s="130"/>
    </row>
    <row r="278" spans="2:16">
      <c r="L278" s="164"/>
    </row>
    <row r="279" spans="2:16" ht="15.6">
      <c r="B279" s="147" t="s">
        <v>11</v>
      </c>
      <c r="C279" s="147"/>
      <c r="D279" s="147"/>
      <c r="I279" s="213"/>
      <c r="L279" s="103"/>
      <c r="O279" s="103"/>
      <c r="P279" s="103"/>
    </row>
    <row r="280" spans="2:16" ht="17.399999999999999">
      <c r="B280" s="90" t="s">
        <v>84</v>
      </c>
      <c r="C280" s="83"/>
      <c r="D280" s="83"/>
      <c r="I280" s="47"/>
      <c r="J280" s="206"/>
      <c r="L280" s="103"/>
    </row>
    <row r="281" spans="2:16" ht="15.6">
      <c r="B281" s="83" t="s">
        <v>12</v>
      </c>
      <c r="L281" s="103"/>
    </row>
    <row r="290" spans="2:16" ht="16.2">
      <c r="B290" s="87" t="s">
        <v>15</v>
      </c>
      <c r="C290" s="79"/>
      <c r="D290" s="148" t="s">
        <v>139</v>
      </c>
      <c r="E290" s="79"/>
      <c r="F290" s="79"/>
      <c r="G290" s="79"/>
      <c r="H290" s="115"/>
      <c r="I290" s="115"/>
      <c r="J290" s="115"/>
      <c r="K290" s="162" t="s">
        <v>80</v>
      </c>
      <c r="L290" s="115"/>
      <c r="M290" s="115"/>
      <c r="N290" s="115"/>
      <c r="O290" s="115"/>
      <c r="P290" s="79"/>
    </row>
    <row r="291" spans="2:16" ht="16.2">
      <c r="B291" s="79" t="s">
        <v>140</v>
      </c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</row>
    <row r="292" spans="2:16" ht="16.8">
      <c r="B292" s="79" t="s">
        <v>16</v>
      </c>
      <c r="C292" s="256" t="s">
        <v>334</v>
      </c>
      <c r="D292" s="88" t="s">
        <v>8</v>
      </c>
      <c r="E292" s="80">
        <v>2022</v>
      </c>
      <c r="F292" s="80"/>
      <c r="G292" s="79"/>
      <c r="H292" s="79"/>
      <c r="I292" s="79"/>
      <c r="J292" s="79"/>
      <c r="K292" s="79"/>
      <c r="L292" s="79"/>
      <c r="M292" s="79"/>
      <c r="N292" s="79"/>
      <c r="O292" s="79"/>
      <c r="P292" s="79"/>
    </row>
    <row r="293" spans="2:16">
      <c r="B293" s="131" t="s">
        <v>17</v>
      </c>
      <c r="C293" s="131" t="s">
        <v>18</v>
      </c>
      <c r="D293" s="131" t="s">
        <v>19</v>
      </c>
      <c r="E293" s="131" t="s">
        <v>19</v>
      </c>
      <c r="F293" s="132" t="s">
        <v>44</v>
      </c>
      <c r="G293" s="133"/>
      <c r="H293" s="134"/>
      <c r="I293" s="135"/>
      <c r="J293" s="134"/>
      <c r="K293" s="135"/>
      <c r="L293" s="136"/>
      <c r="M293" s="135" t="s">
        <v>85</v>
      </c>
      <c r="N293" s="137" t="s">
        <v>56</v>
      </c>
      <c r="O293" s="138" t="s">
        <v>20</v>
      </c>
      <c r="P293" s="132" t="s">
        <v>47</v>
      </c>
    </row>
    <row r="294" spans="2:16">
      <c r="B294" s="139" t="s">
        <v>21</v>
      </c>
      <c r="C294" s="139" t="s">
        <v>22</v>
      </c>
      <c r="D294" s="139" t="s">
        <v>23</v>
      </c>
      <c r="E294" s="139" t="s">
        <v>24</v>
      </c>
      <c r="F294" s="140" t="s">
        <v>45</v>
      </c>
      <c r="G294" s="81" t="s">
        <v>25</v>
      </c>
      <c r="H294" s="211" t="s">
        <v>26</v>
      </c>
      <c r="I294" s="214"/>
      <c r="J294" s="212" t="s">
        <v>27</v>
      </c>
      <c r="K294" s="215"/>
      <c r="L294" s="216"/>
      <c r="M294" s="141" t="s">
        <v>86</v>
      </c>
      <c r="N294" s="142" t="s">
        <v>57</v>
      </c>
      <c r="O294" s="143" t="s">
        <v>28</v>
      </c>
      <c r="P294" s="140" t="s">
        <v>48</v>
      </c>
    </row>
    <row r="295" spans="2:16">
      <c r="B295" s="144"/>
      <c r="C295" s="144"/>
      <c r="D295" s="144"/>
      <c r="E295" s="144"/>
      <c r="F295" s="145" t="s">
        <v>46</v>
      </c>
      <c r="G295" s="146"/>
      <c r="H295" s="144" t="s">
        <v>29</v>
      </c>
      <c r="I295" s="145" t="s">
        <v>30</v>
      </c>
      <c r="J295" s="144" t="s">
        <v>29</v>
      </c>
      <c r="K295" s="145" t="s">
        <v>30</v>
      </c>
      <c r="L295" s="145" t="s">
        <v>31</v>
      </c>
      <c r="M295" s="212" t="s">
        <v>87</v>
      </c>
      <c r="N295" s="211" t="s">
        <v>58</v>
      </c>
      <c r="O295" s="212"/>
      <c r="P295" s="140" t="s">
        <v>49</v>
      </c>
    </row>
    <row r="296" spans="2:16">
      <c r="B296" s="139">
        <v>1</v>
      </c>
      <c r="C296" s="218">
        <v>44714</v>
      </c>
      <c r="D296" s="177" t="s">
        <v>335</v>
      </c>
      <c r="E296" s="178" t="s">
        <v>176</v>
      </c>
      <c r="F296" s="209"/>
      <c r="G296" s="217" t="s">
        <v>105</v>
      </c>
      <c r="H296" s="209"/>
      <c r="I296" s="140"/>
      <c r="J296" s="228">
        <v>8.42</v>
      </c>
      <c r="K296" s="240"/>
      <c r="L296" s="239">
        <f t="shared" ref="L296:L324" si="33">J296*13%</f>
        <v>1.0946</v>
      </c>
      <c r="M296" s="161"/>
      <c r="N296" s="157"/>
      <c r="O296" s="227">
        <f t="shared" ref="O296:O308" si="34">+J296+L296+M296</f>
        <v>9.5145999999999997</v>
      </c>
      <c r="P296" s="140"/>
    </row>
    <row r="297" spans="2:16">
      <c r="B297" s="139">
        <v>2</v>
      </c>
      <c r="C297" s="218">
        <v>44712</v>
      </c>
      <c r="D297" s="203" t="s">
        <v>371</v>
      </c>
      <c r="E297" s="178" t="s">
        <v>246</v>
      </c>
      <c r="F297" s="139"/>
      <c r="G297" s="173" t="s">
        <v>330</v>
      </c>
      <c r="H297" s="209"/>
      <c r="I297" s="210"/>
      <c r="J297" s="227">
        <v>5</v>
      </c>
      <c r="K297" s="160"/>
      <c r="L297" s="229">
        <f t="shared" ref="L297" si="35">J297*13%</f>
        <v>0.65</v>
      </c>
      <c r="M297" s="161"/>
      <c r="N297" s="157"/>
      <c r="O297" s="227">
        <f t="shared" ref="O297" si="36">+J297+L297+M297</f>
        <v>5.65</v>
      </c>
      <c r="P297" s="140"/>
    </row>
    <row r="298" spans="2:16">
      <c r="B298" s="139">
        <v>3</v>
      </c>
      <c r="C298" s="218">
        <v>44714</v>
      </c>
      <c r="D298" s="203" t="s">
        <v>360</v>
      </c>
      <c r="E298" s="178" t="s">
        <v>223</v>
      </c>
      <c r="F298" s="139"/>
      <c r="G298" s="168" t="s">
        <v>361</v>
      </c>
      <c r="H298" s="209"/>
      <c r="I298" s="210"/>
      <c r="J298" s="227">
        <v>53.1</v>
      </c>
      <c r="K298" s="160"/>
      <c r="L298" s="229">
        <f t="shared" si="33"/>
        <v>6.9030000000000005</v>
      </c>
      <c r="M298" s="161"/>
      <c r="N298" s="157"/>
      <c r="O298" s="227">
        <f t="shared" si="34"/>
        <v>60.003</v>
      </c>
      <c r="P298" s="140"/>
    </row>
    <row r="299" spans="2:16">
      <c r="B299" s="139">
        <v>4</v>
      </c>
      <c r="C299" s="218">
        <v>44714</v>
      </c>
      <c r="D299" s="203" t="s">
        <v>362</v>
      </c>
      <c r="E299" s="178" t="s">
        <v>204</v>
      </c>
      <c r="F299" s="209"/>
      <c r="G299" s="208" t="s">
        <v>99</v>
      </c>
      <c r="H299" s="209"/>
      <c r="I299" s="210"/>
      <c r="J299" s="228">
        <v>16.88</v>
      </c>
      <c r="K299" s="240"/>
      <c r="L299" s="239">
        <f t="shared" si="33"/>
        <v>2.1943999999999999</v>
      </c>
      <c r="M299" s="161"/>
      <c r="N299" s="157"/>
      <c r="O299" s="227"/>
      <c r="P299" s="140"/>
    </row>
    <row r="300" spans="2:16">
      <c r="B300" s="139">
        <v>5</v>
      </c>
      <c r="C300" s="218">
        <v>44716</v>
      </c>
      <c r="D300" s="203" t="s">
        <v>336</v>
      </c>
      <c r="E300" s="178" t="s">
        <v>304</v>
      </c>
      <c r="F300" s="209"/>
      <c r="G300" s="208" t="s">
        <v>305</v>
      </c>
      <c r="H300" s="209"/>
      <c r="I300" s="210"/>
      <c r="J300" s="228">
        <v>8.42</v>
      </c>
      <c r="K300" s="240"/>
      <c r="L300" s="239">
        <f t="shared" si="33"/>
        <v>1.0946</v>
      </c>
      <c r="M300" s="161"/>
      <c r="N300" s="157"/>
      <c r="O300" s="227">
        <f t="shared" si="34"/>
        <v>9.5145999999999997</v>
      </c>
      <c r="P300" s="140"/>
    </row>
    <row r="301" spans="2:16">
      <c r="B301" s="139">
        <v>6</v>
      </c>
      <c r="C301" s="218">
        <v>44716</v>
      </c>
      <c r="D301" s="203" t="s">
        <v>337</v>
      </c>
      <c r="E301" s="178" t="s">
        <v>197</v>
      </c>
      <c r="F301" s="139"/>
      <c r="G301" s="168" t="s">
        <v>90</v>
      </c>
      <c r="H301" s="209"/>
      <c r="I301" s="210"/>
      <c r="J301" s="227">
        <v>630</v>
      </c>
      <c r="K301" s="160"/>
      <c r="L301" s="229">
        <f t="shared" si="33"/>
        <v>81.900000000000006</v>
      </c>
      <c r="M301" s="161"/>
      <c r="N301" s="157"/>
      <c r="O301" s="227">
        <f t="shared" si="34"/>
        <v>711.9</v>
      </c>
      <c r="P301" s="140"/>
    </row>
    <row r="302" spans="2:16">
      <c r="B302" s="139">
        <v>7</v>
      </c>
      <c r="C302" s="218">
        <v>44719</v>
      </c>
      <c r="D302" s="203" t="s">
        <v>338</v>
      </c>
      <c r="E302" s="178" t="s">
        <v>165</v>
      </c>
      <c r="F302" s="139"/>
      <c r="G302" s="168" t="s">
        <v>98</v>
      </c>
      <c r="H302" s="209"/>
      <c r="I302" s="210"/>
      <c r="J302" s="227">
        <v>108.82</v>
      </c>
      <c r="K302" s="160"/>
      <c r="L302" s="229">
        <f t="shared" si="33"/>
        <v>14.146599999999999</v>
      </c>
      <c r="M302" s="161"/>
      <c r="N302" s="227">
        <v>1.0900000000000001</v>
      </c>
      <c r="O302" s="227">
        <f>+J302+L302+M302+N302</f>
        <v>124.0566</v>
      </c>
      <c r="P302" s="140"/>
    </row>
    <row r="303" spans="2:16">
      <c r="B303" s="139">
        <v>8</v>
      </c>
      <c r="C303" s="218">
        <v>44719</v>
      </c>
      <c r="D303" s="203" t="s">
        <v>339</v>
      </c>
      <c r="E303" s="178" t="s">
        <v>165</v>
      </c>
      <c r="F303" s="139"/>
      <c r="G303" s="168" t="s">
        <v>98</v>
      </c>
      <c r="H303" s="209"/>
      <c r="I303" s="210"/>
      <c r="J303" s="227">
        <v>49.04</v>
      </c>
      <c r="K303" s="160"/>
      <c r="L303" s="229">
        <f t="shared" si="33"/>
        <v>6.3752000000000004</v>
      </c>
      <c r="M303" s="161"/>
      <c r="N303" s="157"/>
      <c r="O303" s="227">
        <f t="shared" si="34"/>
        <v>55.415199999999999</v>
      </c>
      <c r="P303" s="140"/>
    </row>
    <row r="304" spans="2:16">
      <c r="B304" s="139">
        <v>9</v>
      </c>
      <c r="C304" s="218">
        <v>44719</v>
      </c>
      <c r="D304" s="203" t="s">
        <v>340</v>
      </c>
      <c r="E304" s="178" t="s">
        <v>341</v>
      </c>
      <c r="F304" s="139"/>
      <c r="G304" s="168" t="s">
        <v>342</v>
      </c>
      <c r="H304" s="209"/>
      <c r="I304" s="210"/>
      <c r="J304" s="227">
        <v>27.42</v>
      </c>
      <c r="K304" s="160"/>
      <c r="L304" s="229">
        <f t="shared" si="33"/>
        <v>3.5646000000000004</v>
      </c>
      <c r="M304" s="161"/>
      <c r="N304" s="157"/>
      <c r="O304" s="227">
        <f t="shared" si="34"/>
        <v>30.9846</v>
      </c>
      <c r="P304" s="140"/>
    </row>
    <row r="305" spans="2:16">
      <c r="B305" s="139">
        <v>10</v>
      </c>
      <c r="C305" s="218">
        <v>44721</v>
      </c>
      <c r="D305" s="203" t="s">
        <v>343</v>
      </c>
      <c r="E305" s="178" t="s">
        <v>192</v>
      </c>
      <c r="F305" s="139"/>
      <c r="G305" s="168" t="s">
        <v>96</v>
      </c>
      <c r="H305" s="139"/>
      <c r="I305" s="140"/>
      <c r="J305" s="227">
        <v>24.32</v>
      </c>
      <c r="K305" s="160"/>
      <c r="L305" s="229">
        <f t="shared" si="33"/>
        <v>3.1616</v>
      </c>
      <c r="M305" s="161"/>
      <c r="N305" s="157"/>
      <c r="O305" s="227">
        <f t="shared" si="34"/>
        <v>27.4816</v>
      </c>
      <c r="P305" s="140"/>
    </row>
    <row r="306" spans="2:16">
      <c r="B306" s="139">
        <v>11</v>
      </c>
      <c r="C306" s="218">
        <v>44722</v>
      </c>
      <c r="D306" s="203" t="s">
        <v>363</v>
      </c>
      <c r="E306" s="178" t="s">
        <v>176</v>
      </c>
      <c r="F306" s="209"/>
      <c r="G306" s="217" t="s">
        <v>105</v>
      </c>
      <c r="H306" s="139"/>
      <c r="I306" s="140"/>
      <c r="J306" s="228">
        <v>16.88</v>
      </c>
      <c r="K306" s="240"/>
      <c r="L306" s="239">
        <f t="shared" si="33"/>
        <v>2.1943999999999999</v>
      </c>
      <c r="M306" s="161"/>
      <c r="N306" s="157"/>
      <c r="O306" s="227">
        <f t="shared" si="34"/>
        <v>19.074399999999997</v>
      </c>
      <c r="P306" s="140"/>
    </row>
    <row r="307" spans="2:16">
      <c r="B307" s="139">
        <v>12</v>
      </c>
      <c r="C307" s="218">
        <v>44723</v>
      </c>
      <c r="D307" s="203" t="s">
        <v>344</v>
      </c>
      <c r="E307" s="286" t="s">
        <v>176</v>
      </c>
      <c r="F307" s="209"/>
      <c r="G307" s="217" t="s">
        <v>105</v>
      </c>
      <c r="H307" s="209"/>
      <c r="I307" s="140"/>
      <c r="J307" s="228">
        <v>8.42</v>
      </c>
      <c r="K307" s="240"/>
      <c r="L307" s="239">
        <f t="shared" si="33"/>
        <v>1.0946</v>
      </c>
      <c r="M307" s="161"/>
      <c r="N307" s="157"/>
      <c r="O307" s="227">
        <f t="shared" si="34"/>
        <v>9.5145999999999997</v>
      </c>
      <c r="P307" s="140"/>
    </row>
    <row r="308" spans="2:16">
      <c r="B308" s="139">
        <v>13</v>
      </c>
      <c r="C308" s="218">
        <v>44723</v>
      </c>
      <c r="D308" s="203" t="s">
        <v>364</v>
      </c>
      <c r="E308" s="178" t="s">
        <v>246</v>
      </c>
      <c r="F308" s="139"/>
      <c r="G308" s="173" t="s">
        <v>330</v>
      </c>
      <c r="H308" s="209"/>
      <c r="I308" s="140"/>
      <c r="J308" s="227">
        <v>9.82</v>
      </c>
      <c r="K308" s="160"/>
      <c r="L308" s="229">
        <f t="shared" si="33"/>
        <v>1.2766000000000002</v>
      </c>
      <c r="M308" s="161"/>
      <c r="N308" s="157"/>
      <c r="O308" s="227">
        <f t="shared" si="34"/>
        <v>11.0966</v>
      </c>
      <c r="P308" s="140"/>
    </row>
    <row r="309" spans="2:16">
      <c r="B309" s="139">
        <v>14</v>
      </c>
      <c r="C309" s="218">
        <v>44725</v>
      </c>
      <c r="D309" s="203" t="s">
        <v>345</v>
      </c>
      <c r="E309" s="178" t="s">
        <v>165</v>
      </c>
      <c r="F309" s="139"/>
      <c r="G309" s="168" t="s">
        <v>98</v>
      </c>
      <c r="H309" s="139"/>
      <c r="I309" s="140"/>
      <c r="J309" s="227">
        <v>117.91</v>
      </c>
      <c r="K309" s="160"/>
      <c r="L309" s="229">
        <f t="shared" si="33"/>
        <v>15.3283</v>
      </c>
      <c r="M309" s="161"/>
      <c r="N309" s="227">
        <v>1.18</v>
      </c>
      <c r="O309" s="227">
        <f>+J309+L309+M309+N309</f>
        <v>134.41830000000002</v>
      </c>
      <c r="P309" s="140"/>
    </row>
    <row r="310" spans="2:16">
      <c r="B310" s="139">
        <v>15</v>
      </c>
      <c r="C310" s="218">
        <v>44725</v>
      </c>
      <c r="D310" s="203" t="s">
        <v>372</v>
      </c>
      <c r="E310" s="178" t="s">
        <v>165</v>
      </c>
      <c r="F310" s="139"/>
      <c r="G310" s="168" t="s">
        <v>98</v>
      </c>
      <c r="H310" s="139"/>
      <c r="I310" s="140"/>
      <c r="J310" s="227">
        <v>3.73</v>
      </c>
      <c r="K310" s="160"/>
      <c r="L310" s="229">
        <f t="shared" ref="L310:L311" si="37">J310*13%</f>
        <v>0.4849</v>
      </c>
      <c r="M310" s="161"/>
      <c r="N310" s="157"/>
      <c r="O310" s="227">
        <f>+J310+L310+M310+N310</f>
        <v>4.2149000000000001</v>
      </c>
      <c r="P310" s="140"/>
    </row>
    <row r="311" spans="2:16">
      <c r="B311" s="139">
        <v>16</v>
      </c>
      <c r="C311" s="218">
        <v>44726</v>
      </c>
      <c r="D311" s="203" t="s">
        <v>365</v>
      </c>
      <c r="E311" s="178" t="s">
        <v>366</v>
      </c>
      <c r="F311" s="139"/>
      <c r="G311" s="173" t="s">
        <v>367</v>
      </c>
      <c r="H311" s="139"/>
      <c r="I311" s="140"/>
      <c r="J311" s="227">
        <v>133</v>
      </c>
      <c r="K311" s="160"/>
      <c r="L311" s="229">
        <f t="shared" si="37"/>
        <v>17.29</v>
      </c>
      <c r="M311" s="161"/>
      <c r="N311" s="157"/>
      <c r="O311" s="227"/>
      <c r="P311" s="140"/>
    </row>
    <row r="312" spans="2:16">
      <c r="B312" s="139">
        <v>17</v>
      </c>
      <c r="C312" s="218">
        <v>44726</v>
      </c>
      <c r="D312" s="203" t="s">
        <v>346</v>
      </c>
      <c r="E312" s="284" t="s">
        <v>304</v>
      </c>
      <c r="F312" s="209"/>
      <c r="G312" s="208" t="s">
        <v>305</v>
      </c>
      <c r="H312" s="209"/>
      <c r="I312" s="210"/>
      <c r="J312" s="228">
        <v>8.42</v>
      </c>
      <c r="K312" s="240"/>
      <c r="L312" s="239">
        <f t="shared" si="33"/>
        <v>1.0946</v>
      </c>
      <c r="M312" s="161"/>
      <c r="N312" s="157"/>
      <c r="O312" s="227">
        <f t="shared" ref="O312:O313" si="38">+J312+L312+M312</f>
        <v>9.5145999999999997</v>
      </c>
      <c r="P312" s="140"/>
    </row>
    <row r="313" spans="2:16">
      <c r="B313" s="139">
        <v>18</v>
      </c>
      <c r="C313" s="218">
        <v>44728</v>
      </c>
      <c r="D313" s="203" t="s">
        <v>347</v>
      </c>
      <c r="E313" s="178" t="s">
        <v>179</v>
      </c>
      <c r="F313" s="139"/>
      <c r="G313" s="173" t="s">
        <v>100</v>
      </c>
      <c r="H313" s="209"/>
      <c r="I313" s="210"/>
      <c r="J313" s="227">
        <v>87.13</v>
      </c>
      <c r="K313" s="160"/>
      <c r="L313" s="229">
        <f t="shared" si="33"/>
        <v>11.3269</v>
      </c>
      <c r="M313" s="161"/>
      <c r="N313" s="157"/>
      <c r="O313" s="227">
        <f t="shared" si="38"/>
        <v>98.45689999999999</v>
      </c>
      <c r="P313" s="140"/>
    </row>
    <row r="314" spans="2:16">
      <c r="B314" s="139">
        <v>19</v>
      </c>
      <c r="C314" s="218">
        <v>44730</v>
      </c>
      <c r="D314" s="203" t="s">
        <v>368</v>
      </c>
      <c r="E314" s="231" t="s">
        <v>369</v>
      </c>
      <c r="F314" s="139"/>
      <c r="G314" s="169" t="s">
        <v>95</v>
      </c>
      <c r="H314" s="209"/>
      <c r="I314" s="210"/>
      <c r="J314" s="227">
        <v>4.25</v>
      </c>
      <c r="K314" s="160"/>
      <c r="L314" s="229">
        <f t="shared" si="33"/>
        <v>0.55249999999999999</v>
      </c>
      <c r="M314" s="161"/>
      <c r="N314" s="157"/>
      <c r="O314" s="227"/>
      <c r="P314" s="140"/>
    </row>
    <row r="315" spans="2:16">
      <c r="B315" s="139">
        <v>20</v>
      </c>
      <c r="C315" s="218">
        <v>44730</v>
      </c>
      <c r="D315" s="203" t="s">
        <v>370</v>
      </c>
      <c r="E315" s="284" t="s">
        <v>175</v>
      </c>
      <c r="F315" s="209"/>
      <c r="G315" s="208" t="s">
        <v>103</v>
      </c>
      <c r="H315" s="209"/>
      <c r="I315" s="210"/>
      <c r="J315" s="228">
        <v>16.850000000000001</v>
      </c>
      <c r="K315" s="240"/>
      <c r="L315" s="239">
        <f t="shared" si="33"/>
        <v>2.1905000000000001</v>
      </c>
      <c r="M315" s="161"/>
      <c r="N315" s="157"/>
      <c r="O315" s="227"/>
      <c r="P315" s="140"/>
    </row>
    <row r="316" spans="2:16">
      <c r="B316" s="139">
        <v>21</v>
      </c>
      <c r="C316" s="218">
        <v>44732</v>
      </c>
      <c r="D316" s="203" t="s">
        <v>348</v>
      </c>
      <c r="E316" s="178" t="s">
        <v>349</v>
      </c>
      <c r="F316" s="139"/>
      <c r="G316" s="208" t="s">
        <v>350</v>
      </c>
      <c r="H316" s="209"/>
      <c r="I316" s="210"/>
      <c r="J316" s="228">
        <v>8.4499999999999993</v>
      </c>
      <c r="K316" s="240"/>
      <c r="L316" s="239">
        <f t="shared" si="33"/>
        <v>1.0985</v>
      </c>
      <c r="M316" s="161"/>
      <c r="N316" s="157"/>
      <c r="O316" s="227">
        <f>+J316+L316+M316+N316</f>
        <v>9.5484999999999989</v>
      </c>
      <c r="P316" s="140"/>
    </row>
    <row r="317" spans="2:16">
      <c r="B317" s="139">
        <v>22</v>
      </c>
      <c r="C317" s="218">
        <v>44733</v>
      </c>
      <c r="D317" s="203" t="s">
        <v>351</v>
      </c>
      <c r="E317" s="178" t="s">
        <v>352</v>
      </c>
      <c r="F317" s="209"/>
      <c r="G317" s="208" t="s">
        <v>353</v>
      </c>
      <c r="H317" s="209"/>
      <c r="I317" s="210"/>
      <c r="J317" s="228">
        <v>16.850000000000001</v>
      </c>
      <c r="K317" s="240"/>
      <c r="L317" s="239">
        <f t="shared" si="33"/>
        <v>2.1905000000000001</v>
      </c>
      <c r="M317" s="161"/>
      <c r="N317" s="157"/>
      <c r="O317" s="227">
        <f t="shared" ref="O317:O320" si="39">+J317+L317+M317</f>
        <v>19.040500000000002</v>
      </c>
      <c r="P317" s="140"/>
    </row>
    <row r="318" spans="2:16">
      <c r="B318" s="139">
        <v>23</v>
      </c>
      <c r="C318" s="218">
        <v>44733</v>
      </c>
      <c r="D318" s="203" t="s">
        <v>354</v>
      </c>
      <c r="E318" s="178" t="s">
        <v>165</v>
      </c>
      <c r="F318" s="139"/>
      <c r="G318" s="168" t="s">
        <v>98</v>
      </c>
      <c r="H318" s="139"/>
      <c r="I318" s="140"/>
      <c r="J318" s="227">
        <v>74.14</v>
      </c>
      <c r="K318" s="160"/>
      <c r="L318" s="229">
        <f t="shared" si="33"/>
        <v>9.6382000000000012</v>
      </c>
      <c r="M318" s="161"/>
      <c r="N318" s="157"/>
      <c r="O318" s="227">
        <f t="shared" si="39"/>
        <v>83.778199999999998</v>
      </c>
      <c r="P318" s="140"/>
    </row>
    <row r="319" spans="2:16">
      <c r="B319" s="139">
        <v>24</v>
      </c>
      <c r="C319" s="218">
        <v>44733</v>
      </c>
      <c r="D319" s="203" t="s">
        <v>355</v>
      </c>
      <c r="E319" s="178" t="s">
        <v>165</v>
      </c>
      <c r="F319" s="139"/>
      <c r="G319" s="168" t="s">
        <v>98</v>
      </c>
      <c r="H319" s="139"/>
      <c r="I319" s="140"/>
      <c r="J319" s="227">
        <v>32.549999999999997</v>
      </c>
      <c r="K319" s="160"/>
      <c r="L319" s="229">
        <f t="shared" si="33"/>
        <v>4.2314999999999996</v>
      </c>
      <c r="M319" s="161"/>
      <c r="N319" s="157"/>
      <c r="O319" s="227">
        <f t="shared" si="39"/>
        <v>36.781499999999994</v>
      </c>
      <c r="P319" s="140"/>
    </row>
    <row r="320" spans="2:16">
      <c r="B320" s="139">
        <v>25</v>
      </c>
      <c r="C320" s="218">
        <v>44737</v>
      </c>
      <c r="D320" s="203" t="s">
        <v>272</v>
      </c>
      <c r="E320" s="178" t="s">
        <v>324</v>
      </c>
      <c r="F320" s="139"/>
      <c r="G320" s="168" t="s">
        <v>101</v>
      </c>
      <c r="H320" s="139"/>
      <c r="I320" s="140"/>
      <c r="J320" s="227">
        <v>15.8</v>
      </c>
      <c r="K320" s="160"/>
      <c r="L320" s="229">
        <f t="shared" si="33"/>
        <v>2.0540000000000003</v>
      </c>
      <c r="M320" s="161"/>
      <c r="N320" s="157"/>
      <c r="O320" s="227">
        <f t="shared" si="39"/>
        <v>17.853999999999999</v>
      </c>
      <c r="P320" s="140"/>
    </row>
    <row r="321" spans="2:16">
      <c r="B321" s="139">
        <v>26</v>
      </c>
      <c r="C321" s="218">
        <v>44740</v>
      </c>
      <c r="D321" s="203" t="s">
        <v>356</v>
      </c>
      <c r="E321" s="178" t="s">
        <v>165</v>
      </c>
      <c r="F321" s="139"/>
      <c r="G321" s="168" t="s">
        <v>98</v>
      </c>
      <c r="H321" s="139"/>
      <c r="I321" s="210"/>
      <c r="J321" s="227">
        <v>46.07</v>
      </c>
      <c r="K321" s="160"/>
      <c r="L321" s="229">
        <f t="shared" si="33"/>
        <v>5.9891000000000005</v>
      </c>
      <c r="M321" s="161"/>
      <c r="N321" s="157"/>
      <c r="O321" s="227">
        <f>+J321+L321+M321+N321</f>
        <v>52.059100000000001</v>
      </c>
      <c r="P321" s="140"/>
    </row>
    <row r="322" spans="2:16">
      <c r="B322" s="139">
        <v>27</v>
      </c>
      <c r="C322" s="218">
        <v>44740</v>
      </c>
      <c r="D322" s="203" t="s">
        <v>357</v>
      </c>
      <c r="E322" s="178" t="s">
        <v>165</v>
      </c>
      <c r="F322" s="139"/>
      <c r="G322" s="168" t="s">
        <v>98</v>
      </c>
      <c r="H322" s="209"/>
      <c r="I322" s="210"/>
      <c r="J322" s="227">
        <v>60.9</v>
      </c>
      <c r="K322" s="160"/>
      <c r="L322" s="229">
        <f t="shared" si="33"/>
        <v>7.9169999999999998</v>
      </c>
      <c r="M322" s="161"/>
      <c r="N322" s="157"/>
      <c r="O322" s="227">
        <f t="shared" ref="O322" si="40">+J322+L322+M322</f>
        <v>68.816999999999993</v>
      </c>
      <c r="P322" s="140"/>
    </row>
    <row r="323" spans="2:16">
      <c r="B323" s="139">
        <v>28</v>
      </c>
      <c r="C323" s="218">
        <v>44740</v>
      </c>
      <c r="D323" s="203" t="s">
        <v>358</v>
      </c>
      <c r="E323" s="178" t="s">
        <v>165</v>
      </c>
      <c r="F323" s="139"/>
      <c r="G323" s="168" t="s">
        <v>98</v>
      </c>
      <c r="H323" s="209"/>
      <c r="I323" s="210"/>
      <c r="J323" s="227">
        <v>32.270000000000003</v>
      </c>
      <c r="K323" s="160"/>
      <c r="L323" s="229">
        <f t="shared" ref="L323" si="41">J323*13%</f>
        <v>4.1951000000000009</v>
      </c>
      <c r="M323" s="161"/>
      <c r="N323" s="157"/>
      <c r="O323" s="227">
        <f t="shared" ref="O323" si="42">+J323+L323+M323</f>
        <v>36.465100000000007</v>
      </c>
      <c r="P323" s="140"/>
    </row>
    <row r="324" spans="2:16">
      <c r="B324" s="139">
        <v>29</v>
      </c>
      <c r="C324" s="218">
        <v>44741</v>
      </c>
      <c r="D324" s="203" t="s">
        <v>359</v>
      </c>
      <c r="E324" s="284" t="s">
        <v>204</v>
      </c>
      <c r="F324" s="209"/>
      <c r="G324" s="208" t="s">
        <v>99</v>
      </c>
      <c r="H324" s="139"/>
      <c r="I324" s="140"/>
      <c r="J324" s="228">
        <v>8.43</v>
      </c>
      <c r="K324" s="240"/>
      <c r="L324" s="239">
        <f t="shared" si="33"/>
        <v>1.0959000000000001</v>
      </c>
      <c r="M324" s="161"/>
      <c r="N324" s="157"/>
      <c r="O324" s="227">
        <f t="shared" ref="O324" si="43">+J324+L324+M324+N324</f>
        <v>9.5259</v>
      </c>
      <c r="P324" s="140"/>
    </row>
    <row r="325" spans="2:16">
      <c r="B325" s="139"/>
      <c r="C325" s="225"/>
      <c r="D325" s="177"/>
      <c r="E325" s="177"/>
      <c r="F325" s="139"/>
      <c r="G325" s="226"/>
      <c r="H325" s="139"/>
      <c r="I325" s="140"/>
      <c r="J325" s="204"/>
      <c r="K325" s="160"/>
      <c r="L325" s="204"/>
      <c r="M325" s="161"/>
      <c r="N325" s="157"/>
      <c r="O325" s="22"/>
      <c r="P325" s="140"/>
    </row>
    <row r="326" spans="2:16">
      <c r="B326" s="128"/>
      <c r="C326" s="129"/>
      <c r="D326" s="125"/>
      <c r="E326" s="125"/>
      <c r="F326" s="125"/>
      <c r="G326" s="149" t="s">
        <v>88</v>
      </c>
      <c r="H326" s="130"/>
      <c r="I326" s="130"/>
      <c r="J326" s="230">
        <f>SUM(J296:J324)</f>
        <v>1633.29</v>
      </c>
      <c r="K326" s="230"/>
      <c r="L326" s="230">
        <f>SUM(L296:L324)</f>
        <v>212.32770000000005</v>
      </c>
      <c r="M326" s="230">
        <f>SUM(M296:M312)</f>
        <v>0</v>
      </c>
      <c r="N326" s="230">
        <f>SUM(N296:N324)</f>
        <v>2.27</v>
      </c>
      <c r="O326" s="230">
        <f>SUM(O296:O324)</f>
        <v>1654.6803</v>
      </c>
      <c r="P326" s="130"/>
    </row>
    <row r="327" spans="2:16" ht="15.6">
      <c r="B327" s="147" t="s">
        <v>11</v>
      </c>
      <c r="C327" s="147"/>
      <c r="D327" s="147"/>
      <c r="I327" s="213"/>
      <c r="L327" s="103"/>
      <c r="O327" s="103"/>
      <c r="P327" s="103"/>
    </row>
    <row r="328" spans="2:16" ht="17.399999999999999">
      <c r="B328" s="90" t="s">
        <v>84</v>
      </c>
      <c r="C328" s="83"/>
      <c r="D328" s="83"/>
      <c r="I328" s="47"/>
      <c r="J328" s="206"/>
      <c r="L328" s="103"/>
    </row>
    <row r="329" spans="2:16" ht="15.6">
      <c r="B329" s="83" t="s">
        <v>12</v>
      </c>
      <c r="L329" s="103">
        <f>L296+L299+L300+L306+L307+L312+L315+L316+L317+L324</f>
        <v>15.342599999999999</v>
      </c>
    </row>
    <row r="333" spans="2:16">
      <c r="L333" s="103">
        <f>'VENTAS A CONSUMIDORES'!G350-COMPRAS!L326-COMPRAS!N326</f>
        <v>57.1770787610619</v>
      </c>
    </row>
    <row r="342" spans="2:16" ht="16.2">
      <c r="B342" s="87" t="s">
        <v>15</v>
      </c>
      <c r="C342" s="79"/>
      <c r="D342" s="148" t="s">
        <v>139</v>
      </c>
      <c r="E342" s="79"/>
      <c r="F342" s="79"/>
      <c r="G342" s="79"/>
      <c r="H342" s="115"/>
      <c r="I342" s="115"/>
      <c r="J342" s="115"/>
      <c r="K342" s="162" t="s">
        <v>80</v>
      </c>
      <c r="L342" s="115"/>
      <c r="M342" s="115"/>
      <c r="N342" s="115"/>
      <c r="O342" s="115"/>
      <c r="P342" s="79"/>
    </row>
    <row r="343" spans="2:16" ht="16.2">
      <c r="B343" s="79" t="s">
        <v>140</v>
      </c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</row>
    <row r="344" spans="2:16" ht="16.8">
      <c r="B344" s="79" t="s">
        <v>16</v>
      </c>
      <c r="C344" s="256" t="s">
        <v>373</v>
      </c>
      <c r="D344" s="88" t="s">
        <v>8</v>
      </c>
      <c r="E344" s="80">
        <v>2022</v>
      </c>
      <c r="F344" s="80"/>
      <c r="G344" s="79"/>
      <c r="H344" s="79"/>
      <c r="I344" s="79"/>
      <c r="J344" s="79"/>
      <c r="K344" s="79"/>
      <c r="L344" s="79"/>
      <c r="M344" s="79"/>
      <c r="N344" s="79"/>
      <c r="O344" s="79"/>
      <c r="P344" s="79"/>
    </row>
    <row r="345" spans="2:16">
      <c r="B345" s="131" t="s">
        <v>17</v>
      </c>
      <c r="C345" s="131" t="s">
        <v>18</v>
      </c>
      <c r="D345" s="131" t="s">
        <v>19</v>
      </c>
      <c r="E345" s="131" t="s">
        <v>19</v>
      </c>
      <c r="F345" s="132" t="s">
        <v>44</v>
      </c>
      <c r="G345" s="133"/>
      <c r="H345" s="134"/>
      <c r="I345" s="135"/>
      <c r="J345" s="134"/>
      <c r="K345" s="135"/>
      <c r="L345" s="136"/>
      <c r="M345" s="135" t="s">
        <v>85</v>
      </c>
      <c r="N345" s="137" t="s">
        <v>56</v>
      </c>
      <c r="O345" s="138" t="s">
        <v>20</v>
      </c>
      <c r="P345" s="132" t="s">
        <v>47</v>
      </c>
    </row>
    <row r="346" spans="2:16">
      <c r="B346" s="139" t="s">
        <v>21</v>
      </c>
      <c r="C346" s="139" t="s">
        <v>22</v>
      </c>
      <c r="D346" s="139" t="s">
        <v>23</v>
      </c>
      <c r="E346" s="139" t="s">
        <v>24</v>
      </c>
      <c r="F346" s="140" t="s">
        <v>45</v>
      </c>
      <c r="G346" s="81" t="s">
        <v>25</v>
      </c>
      <c r="H346" s="211" t="s">
        <v>26</v>
      </c>
      <c r="I346" s="214"/>
      <c r="J346" s="212" t="s">
        <v>27</v>
      </c>
      <c r="K346" s="215"/>
      <c r="L346" s="216"/>
      <c r="M346" s="141" t="s">
        <v>86</v>
      </c>
      <c r="N346" s="142" t="s">
        <v>57</v>
      </c>
      <c r="O346" s="143" t="s">
        <v>28</v>
      </c>
      <c r="P346" s="140" t="s">
        <v>48</v>
      </c>
    </row>
    <row r="347" spans="2:16">
      <c r="B347" s="144"/>
      <c r="C347" s="144"/>
      <c r="D347" s="144"/>
      <c r="E347" s="144"/>
      <c r="F347" s="145" t="s">
        <v>46</v>
      </c>
      <c r="G347" s="146"/>
      <c r="H347" s="144" t="s">
        <v>29</v>
      </c>
      <c r="I347" s="145" t="s">
        <v>30</v>
      </c>
      <c r="J347" s="144" t="s">
        <v>29</v>
      </c>
      <c r="K347" s="145" t="s">
        <v>30</v>
      </c>
      <c r="L347" s="145" t="s">
        <v>31</v>
      </c>
      <c r="M347" s="212" t="s">
        <v>87</v>
      </c>
      <c r="N347" s="211" t="s">
        <v>58</v>
      </c>
      <c r="O347" s="212"/>
      <c r="P347" s="140" t="s">
        <v>49</v>
      </c>
    </row>
    <row r="348" spans="2:16">
      <c r="B348" s="139">
        <v>1</v>
      </c>
      <c r="C348" s="218">
        <v>44744</v>
      </c>
      <c r="D348" s="203" t="s">
        <v>374</v>
      </c>
      <c r="E348" s="178" t="s">
        <v>192</v>
      </c>
      <c r="F348" s="139"/>
      <c r="G348" s="168" t="s">
        <v>96</v>
      </c>
      <c r="H348" s="139"/>
      <c r="I348" s="140"/>
      <c r="J348" s="227">
        <v>281.38</v>
      </c>
      <c r="K348" s="160"/>
      <c r="L348" s="229">
        <f t="shared" ref="L348:L375" si="44">J348*13%</f>
        <v>36.5794</v>
      </c>
      <c r="M348" s="161"/>
      <c r="N348" s="157"/>
      <c r="O348" s="227">
        <f t="shared" ref="O348:O351" si="45">+J348+L348+M348</f>
        <v>317.95940000000002</v>
      </c>
      <c r="P348" s="140"/>
    </row>
    <row r="349" spans="2:16">
      <c r="B349" s="139">
        <v>2</v>
      </c>
      <c r="C349" s="218">
        <v>44744</v>
      </c>
      <c r="D349" s="203" t="s">
        <v>375</v>
      </c>
      <c r="E349" s="284" t="s">
        <v>175</v>
      </c>
      <c r="F349" s="209"/>
      <c r="G349" s="208" t="s">
        <v>103</v>
      </c>
      <c r="H349" s="209"/>
      <c r="I349" s="210"/>
      <c r="J349" s="228">
        <v>8.42</v>
      </c>
      <c r="K349" s="240"/>
      <c r="L349" s="239">
        <f t="shared" si="44"/>
        <v>1.0946</v>
      </c>
      <c r="M349" s="161"/>
      <c r="N349" s="157"/>
      <c r="O349" s="228">
        <f t="shared" si="45"/>
        <v>9.5145999999999997</v>
      </c>
      <c r="P349" s="140"/>
    </row>
    <row r="350" spans="2:16">
      <c r="B350" s="139">
        <v>3</v>
      </c>
      <c r="C350" s="218">
        <v>44746</v>
      </c>
      <c r="D350" s="203" t="s">
        <v>376</v>
      </c>
      <c r="E350" s="178" t="s">
        <v>197</v>
      </c>
      <c r="F350" s="139"/>
      <c r="G350" s="168" t="s">
        <v>90</v>
      </c>
      <c r="H350" s="209"/>
      <c r="I350" s="210"/>
      <c r="J350" s="227">
        <v>679.09</v>
      </c>
      <c r="K350" s="160"/>
      <c r="L350" s="229">
        <f t="shared" si="44"/>
        <v>88.281700000000001</v>
      </c>
      <c r="M350" s="161"/>
      <c r="N350" s="157"/>
      <c r="O350" s="227">
        <f t="shared" si="45"/>
        <v>767.37170000000003</v>
      </c>
      <c r="P350" s="140"/>
    </row>
    <row r="351" spans="2:16">
      <c r="B351" s="139">
        <v>4</v>
      </c>
      <c r="C351" s="218">
        <v>44746</v>
      </c>
      <c r="D351" s="203" t="s">
        <v>377</v>
      </c>
      <c r="E351" s="178" t="s">
        <v>197</v>
      </c>
      <c r="F351" s="139"/>
      <c r="G351" s="168" t="s">
        <v>90</v>
      </c>
      <c r="H351" s="209"/>
      <c r="I351" s="210"/>
      <c r="J351" s="227">
        <v>50.06</v>
      </c>
      <c r="K351" s="160"/>
      <c r="L351" s="229">
        <f t="shared" si="44"/>
        <v>6.5078000000000005</v>
      </c>
      <c r="M351" s="161"/>
      <c r="N351" s="157"/>
      <c r="O351" s="227">
        <f t="shared" si="45"/>
        <v>56.567800000000005</v>
      </c>
      <c r="P351" s="140"/>
    </row>
    <row r="352" spans="2:16">
      <c r="B352" s="139">
        <v>5</v>
      </c>
      <c r="C352" s="218">
        <v>44746</v>
      </c>
      <c r="D352" s="203" t="s">
        <v>378</v>
      </c>
      <c r="E352" s="178" t="s">
        <v>165</v>
      </c>
      <c r="F352" s="139"/>
      <c r="G352" s="168" t="s">
        <v>98</v>
      </c>
      <c r="H352" s="209"/>
      <c r="I352" s="210"/>
      <c r="J352" s="227">
        <v>70.06</v>
      </c>
      <c r="K352" s="160"/>
      <c r="L352" s="229">
        <f t="shared" si="44"/>
        <v>9.107800000000001</v>
      </c>
      <c r="M352" s="161"/>
      <c r="N352" s="157"/>
      <c r="O352" s="227">
        <f t="shared" ref="O352:O353" si="46">+J352+L352+M352</f>
        <v>79.1678</v>
      </c>
      <c r="P352" s="140"/>
    </row>
    <row r="353" spans="2:16">
      <c r="B353" s="139">
        <v>6</v>
      </c>
      <c r="C353" s="218">
        <v>44746</v>
      </c>
      <c r="D353" s="203" t="s">
        <v>379</v>
      </c>
      <c r="E353" s="178" t="s">
        <v>165</v>
      </c>
      <c r="F353" s="139"/>
      <c r="G353" s="168" t="s">
        <v>98</v>
      </c>
      <c r="H353" s="209"/>
      <c r="I353" s="210"/>
      <c r="J353" s="227">
        <v>6.28</v>
      </c>
      <c r="K353" s="160"/>
      <c r="L353" s="229">
        <f t="shared" si="44"/>
        <v>0.81640000000000001</v>
      </c>
      <c r="M353" s="161"/>
      <c r="N353" s="157"/>
      <c r="O353" s="227">
        <f t="shared" si="46"/>
        <v>7.0964</v>
      </c>
      <c r="P353" s="140"/>
    </row>
    <row r="354" spans="2:16">
      <c r="B354" s="139">
        <v>7</v>
      </c>
      <c r="C354" s="218">
        <v>44747</v>
      </c>
      <c r="D354" s="203" t="s">
        <v>380</v>
      </c>
      <c r="E354" s="178" t="s">
        <v>176</v>
      </c>
      <c r="F354" s="209"/>
      <c r="G354" s="217" t="s">
        <v>105</v>
      </c>
      <c r="H354" s="209"/>
      <c r="I354" s="210"/>
      <c r="J354" s="228">
        <v>8.43</v>
      </c>
      <c r="K354" s="240"/>
      <c r="L354" s="239">
        <f t="shared" si="44"/>
        <v>1.0959000000000001</v>
      </c>
      <c r="M354" s="161"/>
      <c r="N354" s="157"/>
      <c r="O354" s="228">
        <f>+J354+L354+M354+N354</f>
        <v>9.5259</v>
      </c>
      <c r="P354" s="140"/>
    </row>
    <row r="355" spans="2:16">
      <c r="B355" s="139">
        <v>8</v>
      </c>
      <c r="C355" s="218">
        <v>44750</v>
      </c>
      <c r="D355" s="203" t="s">
        <v>381</v>
      </c>
      <c r="E355" s="178" t="s">
        <v>170</v>
      </c>
      <c r="F355" s="139"/>
      <c r="G355" s="168" t="s">
        <v>93</v>
      </c>
      <c r="H355" s="209"/>
      <c r="I355" s="210"/>
      <c r="J355" s="227">
        <v>26.55</v>
      </c>
      <c r="K355" s="160"/>
      <c r="L355" s="229">
        <f t="shared" si="44"/>
        <v>3.4515000000000002</v>
      </c>
      <c r="M355" s="161"/>
      <c r="N355" s="157"/>
      <c r="O355" s="227">
        <f t="shared" ref="O355:O360" si="47">+J355+L355+M355</f>
        <v>30.0015</v>
      </c>
      <c r="P355" s="140"/>
    </row>
    <row r="356" spans="2:16">
      <c r="B356" s="139">
        <v>9</v>
      </c>
      <c r="C356" s="218">
        <v>44750</v>
      </c>
      <c r="D356" s="203" t="s">
        <v>382</v>
      </c>
      <c r="E356" s="178" t="s">
        <v>352</v>
      </c>
      <c r="F356" s="209"/>
      <c r="G356" s="208" t="s">
        <v>353</v>
      </c>
      <c r="H356" s="209"/>
      <c r="I356" s="210"/>
      <c r="J356" s="228">
        <v>8.4499999999999993</v>
      </c>
      <c r="K356" s="240"/>
      <c r="L356" s="239">
        <f t="shared" si="44"/>
        <v>1.0985</v>
      </c>
      <c r="M356" s="161"/>
      <c r="N356" s="157"/>
      <c r="O356" s="228">
        <f t="shared" si="47"/>
        <v>9.5484999999999989</v>
      </c>
      <c r="P356" s="140"/>
    </row>
    <row r="357" spans="2:16">
      <c r="B357" s="139">
        <v>10</v>
      </c>
      <c r="C357" s="218">
        <v>44750</v>
      </c>
      <c r="D357" s="203" t="s">
        <v>363</v>
      </c>
      <c r="E357" s="286" t="s">
        <v>176</v>
      </c>
      <c r="F357" s="209"/>
      <c r="G357" s="217" t="s">
        <v>105</v>
      </c>
      <c r="H357" s="139"/>
      <c r="I357" s="140"/>
      <c r="J357" s="228">
        <v>8.41</v>
      </c>
      <c r="K357" s="240"/>
      <c r="L357" s="239">
        <f t="shared" si="44"/>
        <v>1.0933000000000002</v>
      </c>
      <c r="M357" s="161"/>
      <c r="N357" s="157"/>
      <c r="O357" s="228">
        <f t="shared" si="47"/>
        <v>9.5032999999999994</v>
      </c>
      <c r="P357" s="140"/>
    </row>
    <row r="358" spans="2:16">
      <c r="B358" s="139">
        <v>11</v>
      </c>
      <c r="C358" s="218">
        <v>44752</v>
      </c>
      <c r="D358" s="203" t="s">
        <v>384</v>
      </c>
      <c r="E358" s="284" t="s">
        <v>175</v>
      </c>
      <c r="F358" s="209"/>
      <c r="G358" s="208" t="s">
        <v>103</v>
      </c>
      <c r="H358" s="139"/>
      <c r="I358" s="140"/>
      <c r="J358" s="228">
        <v>16.87</v>
      </c>
      <c r="K358" s="240"/>
      <c r="L358" s="239">
        <f t="shared" si="44"/>
        <v>2.1931000000000003</v>
      </c>
      <c r="M358" s="161"/>
      <c r="N358" s="157"/>
      <c r="O358" s="228">
        <f t="shared" si="47"/>
        <v>19.063100000000002</v>
      </c>
      <c r="P358" s="140"/>
    </row>
    <row r="359" spans="2:16">
      <c r="B359" s="139">
        <v>12</v>
      </c>
      <c r="C359" s="218">
        <v>44753</v>
      </c>
      <c r="D359" s="203" t="s">
        <v>383</v>
      </c>
      <c r="E359" s="284" t="s">
        <v>175</v>
      </c>
      <c r="F359" s="209"/>
      <c r="G359" s="208" t="s">
        <v>103</v>
      </c>
      <c r="H359" s="139"/>
      <c r="I359" s="140"/>
      <c r="J359" s="228">
        <v>16.84</v>
      </c>
      <c r="K359" s="240"/>
      <c r="L359" s="239">
        <f t="shared" si="44"/>
        <v>2.1892</v>
      </c>
      <c r="M359" s="161"/>
      <c r="N359" s="157"/>
      <c r="O359" s="228">
        <f t="shared" si="47"/>
        <v>19.029199999999999</v>
      </c>
      <c r="P359" s="140"/>
    </row>
    <row r="360" spans="2:16">
      <c r="B360" s="139">
        <v>13</v>
      </c>
      <c r="C360" s="218">
        <v>44754</v>
      </c>
      <c r="D360" s="203" t="s">
        <v>345</v>
      </c>
      <c r="E360" s="178" t="s">
        <v>165</v>
      </c>
      <c r="F360" s="139"/>
      <c r="G360" s="168" t="s">
        <v>98</v>
      </c>
      <c r="H360" s="209"/>
      <c r="I360" s="140"/>
      <c r="J360" s="227">
        <v>39.74</v>
      </c>
      <c r="K360" s="160"/>
      <c r="L360" s="229">
        <f t="shared" si="44"/>
        <v>5.1662000000000008</v>
      </c>
      <c r="M360" s="161"/>
      <c r="N360" s="157"/>
      <c r="O360" s="227">
        <f t="shared" si="47"/>
        <v>44.906200000000005</v>
      </c>
      <c r="P360" s="140"/>
    </row>
    <row r="361" spans="2:16">
      <c r="B361" s="139">
        <v>14</v>
      </c>
      <c r="C361" s="218">
        <v>44754</v>
      </c>
      <c r="D361" s="203" t="s">
        <v>345</v>
      </c>
      <c r="E361" s="178" t="s">
        <v>165</v>
      </c>
      <c r="F361" s="139"/>
      <c r="G361" s="168" t="s">
        <v>98</v>
      </c>
      <c r="H361" s="139"/>
      <c r="I361" s="140"/>
      <c r="J361" s="227">
        <v>84.35</v>
      </c>
      <c r="K361" s="160"/>
      <c r="L361" s="229">
        <f t="shared" si="44"/>
        <v>10.9655</v>
      </c>
      <c r="M361" s="161"/>
      <c r="N361" s="157"/>
      <c r="O361" s="227">
        <f>+J361+L361+M361+N361</f>
        <v>95.3155</v>
      </c>
      <c r="P361" s="140"/>
    </row>
    <row r="362" spans="2:16">
      <c r="B362" s="139">
        <v>15</v>
      </c>
      <c r="C362" s="218">
        <v>44754</v>
      </c>
      <c r="D362" s="203" t="s">
        <v>385</v>
      </c>
      <c r="E362" s="178" t="s">
        <v>179</v>
      </c>
      <c r="F362" s="139"/>
      <c r="G362" s="173" t="s">
        <v>100</v>
      </c>
      <c r="H362" s="139"/>
      <c r="I362" s="140"/>
      <c r="J362" s="227">
        <v>92.54</v>
      </c>
      <c r="K362" s="160"/>
      <c r="L362" s="229">
        <f t="shared" si="44"/>
        <v>12.030200000000001</v>
      </c>
      <c r="M362" s="161"/>
      <c r="N362" s="157"/>
      <c r="O362" s="227">
        <f>+J362+L362+M362+N362</f>
        <v>104.5702</v>
      </c>
      <c r="P362" s="140"/>
    </row>
    <row r="363" spans="2:16">
      <c r="B363" s="139">
        <v>16</v>
      </c>
      <c r="C363" s="218">
        <v>44758</v>
      </c>
      <c r="D363" s="203" t="s">
        <v>386</v>
      </c>
      <c r="E363" s="178" t="s">
        <v>246</v>
      </c>
      <c r="F363" s="139"/>
      <c r="G363" s="173" t="s">
        <v>330</v>
      </c>
      <c r="H363" s="139"/>
      <c r="I363" s="140"/>
      <c r="J363" s="227">
        <v>3.54</v>
      </c>
      <c r="K363" s="160"/>
      <c r="L363" s="229">
        <f t="shared" si="44"/>
        <v>0.4602</v>
      </c>
      <c r="M363" s="161"/>
      <c r="N363" s="157"/>
      <c r="O363" s="227">
        <f>+J363+L363+M363+N363</f>
        <v>4.0002000000000004</v>
      </c>
      <c r="P363" s="140"/>
    </row>
    <row r="364" spans="2:16">
      <c r="B364" s="139">
        <v>17</v>
      </c>
      <c r="C364" s="218">
        <v>44758</v>
      </c>
      <c r="D364" s="203" t="s">
        <v>387</v>
      </c>
      <c r="E364" s="231" t="s">
        <v>369</v>
      </c>
      <c r="F364" s="139"/>
      <c r="G364" s="169" t="s">
        <v>95</v>
      </c>
      <c r="H364" s="209"/>
      <c r="I364" s="210"/>
      <c r="J364" s="227">
        <v>5.71</v>
      </c>
      <c r="K364" s="160"/>
      <c r="L364" s="229">
        <f t="shared" si="44"/>
        <v>0.74230000000000007</v>
      </c>
      <c r="M364" s="161"/>
      <c r="N364" s="157"/>
      <c r="O364" s="227">
        <f t="shared" ref="O364:O369" si="48">+J364+L364+M364</f>
        <v>6.4523000000000001</v>
      </c>
      <c r="P364" s="140"/>
    </row>
    <row r="365" spans="2:16">
      <c r="B365" s="139">
        <v>18</v>
      </c>
      <c r="C365" s="218">
        <v>44758</v>
      </c>
      <c r="D365" s="203" t="s">
        <v>388</v>
      </c>
      <c r="E365" s="178" t="s">
        <v>324</v>
      </c>
      <c r="F365" s="139"/>
      <c r="G365" s="168" t="s">
        <v>101</v>
      </c>
      <c r="H365" s="209"/>
      <c r="I365" s="210"/>
      <c r="J365" s="227">
        <v>15.27</v>
      </c>
      <c r="K365" s="160"/>
      <c r="L365" s="229">
        <f t="shared" si="44"/>
        <v>1.9851000000000001</v>
      </c>
      <c r="M365" s="161"/>
      <c r="N365" s="157"/>
      <c r="O365" s="227">
        <f t="shared" si="48"/>
        <v>17.255099999999999</v>
      </c>
      <c r="P365" s="140"/>
    </row>
    <row r="366" spans="2:16">
      <c r="B366" s="139">
        <v>19</v>
      </c>
      <c r="C366" s="218">
        <v>44760</v>
      </c>
      <c r="D366" s="203" t="s">
        <v>389</v>
      </c>
      <c r="E366" s="231" t="s">
        <v>390</v>
      </c>
      <c r="F366" s="139"/>
      <c r="G366" s="174" t="s">
        <v>391</v>
      </c>
      <c r="H366" s="209"/>
      <c r="I366" s="210"/>
      <c r="J366" s="227">
        <v>5.53</v>
      </c>
      <c r="K366" s="160"/>
      <c r="L366" s="229">
        <f t="shared" si="44"/>
        <v>0.71890000000000009</v>
      </c>
      <c r="M366" s="161"/>
      <c r="N366" s="157"/>
      <c r="O366" s="227">
        <f t="shared" si="48"/>
        <v>6.2489000000000008</v>
      </c>
      <c r="P366" s="140"/>
    </row>
    <row r="367" spans="2:16">
      <c r="B367" s="139">
        <v>20</v>
      </c>
      <c r="C367" s="218">
        <v>44760</v>
      </c>
      <c r="D367" s="203" t="s">
        <v>392</v>
      </c>
      <c r="E367" s="284" t="s">
        <v>175</v>
      </c>
      <c r="F367" s="209"/>
      <c r="G367" s="208" t="s">
        <v>103</v>
      </c>
      <c r="H367" s="209"/>
      <c r="I367" s="210"/>
      <c r="J367" s="228">
        <v>8.42</v>
      </c>
      <c r="K367" s="240"/>
      <c r="L367" s="239">
        <f t="shared" si="44"/>
        <v>1.0946</v>
      </c>
      <c r="M367" s="161"/>
      <c r="N367" s="157"/>
      <c r="O367" s="228">
        <f t="shared" si="48"/>
        <v>9.5145999999999997</v>
      </c>
      <c r="P367" s="140"/>
    </row>
    <row r="368" spans="2:16">
      <c r="B368" s="139">
        <v>21</v>
      </c>
      <c r="C368" s="218">
        <v>44760</v>
      </c>
      <c r="D368" s="203" t="s">
        <v>393</v>
      </c>
      <c r="E368" s="178" t="s">
        <v>165</v>
      </c>
      <c r="F368" s="139"/>
      <c r="G368" s="168" t="s">
        <v>98</v>
      </c>
      <c r="H368" s="209"/>
      <c r="I368" s="210"/>
      <c r="J368" s="227">
        <v>113.94</v>
      </c>
      <c r="K368" s="160"/>
      <c r="L368" s="229">
        <f t="shared" si="44"/>
        <v>14.812200000000001</v>
      </c>
      <c r="M368" s="161"/>
      <c r="N368" s="227">
        <v>1.1399999999999999</v>
      </c>
      <c r="O368" s="227">
        <f>+J368+L368+M368+N368</f>
        <v>129.89219999999997</v>
      </c>
      <c r="P368" s="140"/>
    </row>
    <row r="369" spans="2:16">
      <c r="B369" s="139">
        <v>22</v>
      </c>
      <c r="C369" s="218">
        <v>44761</v>
      </c>
      <c r="D369" s="203" t="s">
        <v>394</v>
      </c>
      <c r="E369" s="284" t="s">
        <v>175</v>
      </c>
      <c r="F369" s="209"/>
      <c r="G369" s="208" t="s">
        <v>103</v>
      </c>
      <c r="H369" s="209"/>
      <c r="I369" s="210"/>
      <c r="J369" s="228">
        <v>16.84</v>
      </c>
      <c r="K369" s="240"/>
      <c r="L369" s="239">
        <f t="shared" si="44"/>
        <v>2.1892</v>
      </c>
      <c r="M369" s="161"/>
      <c r="N369" s="157"/>
      <c r="O369" s="228">
        <f t="shared" si="48"/>
        <v>19.029199999999999</v>
      </c>
      <c r="P369" s="140"/>
    </row>
    <row r="370" spans="2:16">
      <c r="B370" s="139">
        <v>23</v>
      </c>
      <c r="C370" s="218">
        <v>44764</v>
      </c>
      <c r="D370" s="203" t="s">
        <v>395</v>
      </c>
      <c r="E370" s="284" t="s">
        <v>175</v>
      </c>
      <c r="F370" s="209"/>
      <c r="G370" s="208" t="s">
        <v>103</v>
      </c>
      <c r="H370" s="209"/>
      <c r="I370" s="210"/>
      <c r="J370" s="228">
        <v>8.44</v>
      </c>
      <c r="K370" s="240"/>
      <c r="L370" s="239">
        <f t="shared" ref="L370:L372" si="49">J370*13%</f>
        <v>1.0972</v>
      </c>
      <c r="M370" s="161"/>
      <c r="N370" s="157"/>
      <c r="O370" s="228">
        <f t="shared" ref="O370" si="50">+J370+L370+M370</f>
        <v>9.5371999999999986</v>
      </c>
      <c r="P370" s="140"/>
    </row>
    <row r="371" spans="2:16">
      <c r="B371" s="139">
        <v>24</v>
      </c>
      <c r="C371" s="218">
        <v>44764</v>
      </c>
      <c r="D371" s="203" t="s">
        <v>396</v>
      </c>
      <c r="E371" s="284" t="s">
        <v>200</v>
      </c>
      <c r="F371" s="209"/>
      <c r="G371" s="208" t="s">
        <v>97</v>
      </c>
      <c r="H371" s="209"/>
      <c r="I371" s="210"/>
      <c r="J371" s="239">
        <v>8.43</v>
      </c>
      <c r="K371" s="240"/>
      <c r="L371" s="239">
        <f t="shared" si="49"/>
        <v>1.0959000000000001</v>
      </c>
      <c r="M371" s="242"/>
      <c r="N371" s="243"/>
      <c r="O371" s="239">
        <f t="shared" ref="O371" si="51">+J371+L371+M371+N371</f>
        <v>9.5259</v>
      </c>
      <c r="P371" s="140"/>
    </row>
    <row r="372" spans="2:16">
      <c r="B372" s="139">
        <v>25</v>
      </c>
      <c r="C372" s="218">
        <v>44764</v>
      </c>
      <c r="D372" s="203" t="s">
        <v>397</v>
      </c>
      <c r="E372" s="284" t="s">
        <v>161</v>
      </c>
      <c r="F372" s="139"/>
      <c r="G372" s="208" t="s">
        <v>162</v>
      </c>
      <c r="H372" s="209"/>
      <c r="I372" s="210"/>
      <c r="J372" s="228">
        <v>16.88</v>
      </c>
      <c r="K372" s="160"/>
      <c r="L372" s="228">
        <f t="shared" si="49"/>
        <v>2.1943999999999999</v>
      </c>
      <c r="M372" s="161"/>
      <c r="N372" s="157"/>
      <c r="O372" s="228">
        <f t="shared" ref="O372" si="52">+J372+L372+M372</f>
        <v>19.074399999999997</v>
      </c>
      <c r="P372" s="140"/>
    </row>
    <row r="373" spans="2:16">
      <c r="B373" s="139">
        <v>26</v>
      </c>
      <c r="C373" s="218">
        <v>44765</v>
      </c>
      <c r="D373" s="203" t="s">
        <v>398</v>
      </c>
      <c r="E373" s="178" t="s">
        <v>168</v>
      </c>
      <c r="F373" s="139"/>
      <c r="G373" s="173" t="s">
        <v>92</v>
      </c>
      <c r="H373" s="139"/>
      <c r="I373" s="210"/>
      <c r="J373" s="227">
        <v>28.13</v>
      </c>
      <c r="K373" s="160"/>
      <c r="L373" s="229">
        <f t="shared" si="44"/>
        <v>3.6568999999999998</v>
      </c>
      <c r="M373" s="161"/>
      <c r="N373" s="157"/>
      <c r="O373" s="227">
        <f>+J373+L373+M373+N373</f>
        <v>31.786899999999999</v>
      </c>
      <c r="P373" s="140"/>
    </row>
    <row r="374" spans="2:16">
      <c r="B374" s="139">
        <v>27</v>
      </c>
      <c r="C374" s="218">
        <v>44765</v>
      </c>
      <c r="D374" s="203" t="s">
        <v>399</v>
      </c>
      <c r="E374" s="178" t="s">
        <v>168</v>
      </c>
      <c r="F374" s="139"/>
      <c r="G374" s="173" t="s">
        <v>92</v>
      </c>
      <c r="H374" s="139"/>
      <c r="I374" s="210"/>
      <c r="J374" s="227">
        <v>44.07</v>
      </c>
      <c r="K374" s="160"/>
      <c r="L374" s="229">
        <f t="shared" ref="L374" si="53">J374*13%</f>
        <v>5.7290999999999999</v>
      </c>
      <c r="M374" s="161"/>
      <c r="N374" s="157"/>
      <c r="O374" s="227">
        <f>+J374+L374+M374+N374</f>
        <v>49.799100000000003</v>
      </c>
      <c r="P374" s="140"/>
    </row>
    <row r="375" spans="2:16">
      <c r="B375" s="139">
        <v>28</v>
      </c>
      <c r="C375" s="218">
        <v>44767</v>
      </c>
      <c r="D375" s="203" t="s">
        <v>400</v>
      </c>
      <c r="E375" s="178" t="s">
        <v>165</v>
      </c>
      <c r="F375" s="139"/>
      <c r="G375" s="168" t="s">
        <v>98</v>
      </c>
      <c r="H375" s="209"/>
      <c r="I375" s="210"/>
      <c r="J375" s="227">
        <v>92.04</v>
      </c>
      <c r="K375" s="160"/>
      <c r="L375" s="229">
        <f t="shared" si="44"/>
        <v>11.965200000000001</v>
      </c>
      <c r="M375" s="161"/>
      <c r="N375" s="157"/>
      <c r="O375" s="227">
        <f t="shared" ref="O375" si="54">+J375+L375+M375</f>
        <v>104.0052</v>
      </c>
      <c r="P375" s="140"/>
    </row>
    <row r="376" spans="2:16">
      <c r="B376" s="139">
        <v>29</v>
      </c>
      <c r="C376" s="218">
        <v>44767</v>
      </c>
      <c r="D376" s="203" t="s">
        <v>401</v>
      </c>
      <c r="E376" s="178" t="s">
        <v>165</v>
      </c>
      <c r="F376" s="139"/>
      <c r="G376" s="168" t="s">
        <v>98</v>
      </c>
      <c r="H376" s="209"/>
      <c r="I376" s="210"/>
      <c r="J376" s="227">
        <v>71.75</v>
      </c>
      <c r="K376" s="160"/>
      <c r="L376" s="229">
        <f t="shared" ref="L376:L381" si="55">J376*13%</f>
        <v>9.3275000000000006</v>
      </c>
      <c r="M376" s="161"/>
      <c r="N376" s="157"/>
      <c r="O376" s="227">
        <f t="shared" ref="O376:O378" si="56">+J376+L376+M376</f>
        <v>81.077500000000001</v>
      </c>
      <c r="P376" s="140"/>
    </row>
    <row r="377" spans="2:16">
      <c r="B377" s="139">
        <v>30</v>
      </c>
      <c r="C377" s="218">
        <v>44770</v>
      </c>
      <c r="D377" s="203" t="s">
        <v>402</v>
      </c>
      <c r="E377" s="178" t="s">
        <v>192</v>
      </c>
      <c r="F377" s="139"/>
      <c r="G377" s="168" t="s">
        <v>96</v>
      </c>
      <c r="H377" s="139"/>
      <c r="I377" s="210"/>
      <c r="J377" s="229">
        <v>299.13</v>
      </c>
      <c r="K377" s="160"/>
      <c r="L377" s="229">
        <f t="shared" si="55"/>
        <v>38.886900000000004</v>
      </c>
      <c r="M377" s="161"/>
      <c r="N377" s="157"/>
      <c r="O377" s="227">
        <f t="shared" si="56"/>
        <v>338.01690000000002</v>
      </c>
      <c r="P377" s="140"/>
    </row>
    <row r="378" spans="2:16">
      <c r="B378" s="139">
        <v>31</v>
      </c>
      <c r="C378" s="218">
        <v>44770</v>
      </c>
      <c r="D378" s="203" t="s">
        <v>403</v>
      </c>
      <c r="E378" s="178" t="s">
        <v>404</v>
      </c>
      <c r="F378" s="139"/>
      <c r="G378" s="298" t="s">
        <v>405</v>
      </c>
      <c r="H378" s="209"/>
      <c r="I378" s="210"/>
      <c r="J378" s="229">
        <v>16.829999999999998</v>
      </c>
      <c r="K378" s="160"/>
      <c r="L378" s="229">
        <f t="shared" si="55"/>
        <v>2.1879</v>
      </c>
      <c r="M378" s="161"/>
      <c r="N378" s="157"/>
      <c r="O378" s="227">
        <f t="shared" si="56"/>
        <v>19.017899999999997</v>
      </c>
      <c r="P378" s="140"/>
    </row>
    <row r="379" spans="2:16">
      <c r="B379" s="139">
        <v>32</v>
      </c>
      <c r="C379" s="218">
        <v>44770</v>
      </c>
      <c r="D379" s="203" t="s">
        <v>406</v>
      </c>
      <c r="E379" s="284" t="s">
        <v>175</v>
      </c>
      <c r="F379" s="209"/>
      <c r="G379" s="208" t="s">
        <v>103</v>
      </c>
      <c r="H379" s="209"/>
      <c r="I379" s="210"/>
      <c r="J379" s="228">
        <v>8.44</v>
      </c>
      <c r="K379" s="240"/>
      <c r="L379" s="239">
        <f t="shared" si="55"/>
        <v>1.0972</v>
      </c>
      <c r="M379" s="161"/>
      <c r="N379" s="157"/>
      <c r="O379" s="228">
        <f t="shared" ref="O379:O381" si="57">+J379+L379+M379</f>
        <v>9.5371999999999986</v>
      </c>
      <c r="P379" s="140"/>
    </row>
    <row r="380" spans="2:16">
      <c r="B380" s="139">
        <v>33</v>
      </c>
      <c r="C380" s="218">
        <v>44771</v>
      </c>
      <c r="D380" s="203" t="s">
        <v>407</v>
      </c>
      <c r="E380" s="286" t="s">
        <v>176</v>
      </c>
      <c r="F380" s="209"/>
      <c r="G380" s="217" t="s">
        <v>105</v>
      </c>
      <c r="H380" s="139"/>
      <c r="I380" s="140"/>
      <c r="J380" s="228">
        <v>16.86</v>
      </c>
      <c r="K380" s="240"/>
      <c r="L380" s="239">
        <f t="shared" si="55"/>
        <v>2.1918000000000002</v>
      </c>
      <c r="M380" s="161"/>
      <c r="N380" s="157"/>
      <c r="O380" s="228">
        <f t="shared" si="57"/>
        <v>19.0518</v>
      </c>
      <c r="P380" s="140"/>
    </row>
    <row r="381" spans="2:16">
      <c r="B381" s="139">
        <v>34</v>
      </c>
      <c r="C381" s="218">
        <v>44771</v>
      </c>
      <c r="D381" s="203" t="s">
        <v>408</v>
      </c>
      <c r="E381" s="231" t="s">
        <v>390</v>
      </c>
      <c r="F381" s="139"/>
      <c r="G381" s="174" t="s">
        <v>391</v>
      </c>
      <c r="H381" s="209"/>
      <c r="I381" s="210"/>
      <c r="J381" s="227">
        <v>17.7</v>
      </c>
      <c r="K381" s="160"/>
      <c r="L381" s="229">
        <f t="shared" si="55"/>
        <v>2.3010000000000002</v>
      </c>
      <c r="M381" s="161"/>
      <c r="N381" s="157"/>
      <c r="O381" s="227">
        <f t="shared" si="57"/>
        <v>20.000999999999998</v>
      </c>
      <c r="P381" s="140"/>
    </row>
    <row r="382" spans="2:16">
      <c r="B382" s="139"/>
      <c r="C382" s="297"/>
      <c r="D382" s="203"/>
      <c r="E382" s="178"/>
      <c r="F382" s="139"/>
      <c r="G382" s="226"/>
      <c r="H382" s="209"/>
      <c r="I382" s="210"/>
      <c r="J382" s="229"/>
      <c r="K382" s="160"/>
      <c r="L382" s="229"/>
      <c r="M382" s="161"/>
      <c r="N382" s="157"/>
      <c r="O382" s="229"/>
      <c r="P382" s="140"/>
    </row>
    <row r="383" spans="2:16">
      <c r="B383" s="139"/>
      <c r="C383" s="225"/>
      <c r="D383" s="177"/>
      <c r="E383" s="177"/>
      <c r="F383" s="139"/>
      <c r="G383" s="226"/>
      <c r="H383" s="139"/>
      <c r="I383" s="140"/>
      <c r="J383" s="204"/>
      <c r="K383" s="160"/>
      <c r="L383" s="204"/>
      <c r="M383" s="161"/>
      <c r="N383" s="157"/>
      <c r="O383" s="22"/>
      <c r="P383" s="140"/>
    </row>
    <row r="384" spans="2:16">
      <c r="B384" s="128"/>
      <c r="C384" s="129"/>
      <c r="D384" s="125"/>
      <c r="E384" s="125"/>
      <c r="F384" s="125"/>
      <c r="G384" s="149" t="s">
        <v>88</v>
      </c>
      <c r="H384" s="130"/>
      <c r="I384" s="130"/>
      <c r="J384" s="230">
        <f>SUM(J348:J378)</f>
        <v>2152.42</v>
      </c>
      <c r="K384" s="230"/>
      <c r="L384" s="230">
        <f>SUM(L348:L378)</f>
        <v>279.81459999999998</v>
      </c>
      <c r="M384" s="230">
        <f>SUM(M348:M364)</f>
        <v>0</v>
      </c>
      <c r="N384" s="230">
        <f>SUM(N348:N376)</f>
        <v>1.1399999999999999</v>
      </c>
      <c r="O384" s="230">
        <f>SUM(O348:O376)</f>
        <v>2076.3398000000002</v>
      </c>
      <c r="P384" s="130"/>
    </row>
    <row r="385" spans="2:16" ht="15.6">
      <c r="B385" s="147" t="s">
        <v>11</v>
      </c>
      <c r="C385" s="147"/>
      <c r="D385" s="147"/>
      <c r="I385" s="213"/>
      <c r="L385" s="103"/>
      <c r="O385" s="103"/>
      <c r="P385" s="103"/>
    </row>
    <row r="386" spans="2:16" ht="17.399999999999999">
      <c r="B386" s="90" t="s">
        <v>84</v>
      </c>
      <c r="C386" s="83"/>
      <c r="D386" s="83"/>
      <c r="I386" s="47"/>
      <c r="J386" s="206"/>
      <c r="L386" s="103"/>
    </row>
    <row r="387" spans="2:16" ht="15.6">
      <c r="B387" s="83" t="s">
        <v>12</v>
      </c>
      <c r="L387" s="103">
        <f>L348+L351+L352+L358+L359+L364+L367+L368+L369+L376</f>
        <v>84.743100000000013</v>
      </c>
    </row>
    <row r="394" spans="2:16" ht="16.2">
      <c r="B394" s="87" t="s">
        <v>15</v>
      </c>
      <c r="C394" s="79"/>
      <c r="D394" s="148" t="s">
        <v>139</v>
      </c>
      <c r="E394" s="79"/>
      <c r="F394" s="79"/>
      <c r="G394" s="79"/>
      <c r="H394" s="115"/>
      <c r="I394" s="115"/>
      <c r="J394" s="115"/>
      <c r="K394" s="162" t="s">
        <v>80</v>
      </c>
      <c r="L394" s="115"/>
      <c r="M394" s="115"/>
      <c r="N394" s="115"/>
      <c r="O394" s="115"/>
      <c r="P394" s="79"/>
    </row>
    <row r="395" spans="2:16" ht="16.2">
      <c r="B395" s="79" t="s">
        <v>140</v>
      </c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</row>
    <row r="396" spans="2:16" ht="16.8">
      <c r="B396" s="79" t="s">
        <v>16</v>
      </c>
      <c r="C396" s="256" t="s">
        <v>373</v>
      </c>
      <c r="D396" s="88" t="s">
        <v>8</v>
      </c>
      <c r="E396" s="80">
        <v>2022</v>
      </c>
      <c r="F396" s="80"/>
      <c r="G396" s="79"/>
      <c r="H396" s="79"/>
      <c r="I396" s="79"/>
      <c r="J396" s="79"/>
      <c r="K396" s="79"/>
      <c r="L396" s="79"/>
      <c r="M396" s="79"/>
      <c r="N396" s="79"/>
      <c r="O396" s="79"/>
      <c r="P396" s="79"/>
    </row>
    <row r="397" spans="2:16">
      <c r="B397" s="131" t="s">
        <v>17</v>
      </c>
      <c r="C397" s="131" t="s">
        <v>18</v>
      </c>
      <c r="D397" s="131" t="s">
        <v>19</v>
      </c>
      <c r="E397" s="131" t="s">
        <v>19</v>
      </c>
      <c r="F397" s="132" t="s">
        <v>44</v>
      </c>
      <c r="G397" s="133"/>
      <c r="H397" s="134"/>
      <c r="I397" s="135"/>
      <c r="J397" s="134"/>
      <c r="K397" s="135"/>
      <c r="L397" s="136"/>
      <c r="M397" s="135" t="s">
        <v>85</v>
      </c>
      <c r="N397" s="137" t="s">
        <v>56</v>
      </c>
      <c r="O397" s="138" t="s">
        <v>20</v>
      </c>
      <c r="P397" s="132" t="s">
        <v>47</v>
      </c>
    </row>
    <row r="398" spans="2:16">
      <c r="B398" s="139" t="s">
        <v>21</v>
      </c>
      <c r="C398" s="139" t="s">
        <v>22</v>
      </c>
      <c r="D398" s="139" t="s">
        <v>23</v>
      </c>
      <c r="E398" s="139" t="s">
        <v>24</v>
      </c>
      <c r="F398" s="140" t="s">
        <v>45</v>
      </c>
      <c r="G398" s="81" t="s">
        <v>25</v>
      </c>
      <c r="H398" s="211" t="s">
        <v>26</v>
      </c>
      <c r="I398" s="214"/>
      <c r="J398" s="212" t="s">
        <v>27</v>
      </c>
      <c r="K398" s="215"/>
      <c r="L398" s="216"/>
      <c r="M398" s="141" t="s">
        <v>86</v>
      </c>
      <c r="N398" s="142" t="s">
        <v>57</v>
      </c>
      <c r="O398" s="143" t="s">
        <v>28</v>
      </c>
      <c r="P398" s="140" t="s">
        <v>48</v>
      </c>
    </row>
    <row r="399" spans="2:16">
      <c r="B399" s="144"/>
      <c r="C399" s="144"/>
      <c r="D399" s="144"/>
      <c r="E399" s="144"/>
      <c r="F399" s="145" t="s">
        <v>46</v>
      </c>
      <c r="G399" s="146"/>
      <c r="H399" s="144" t="s">
        <v>29</v>
      </c>
      <c r="I399" s="145" t="s">
        <v>30</v>
      </c>
      <c r="J399" s="144" t="s">
        <v>29</v>
      </c>
      <c r="K399" s="145" t="s">
        <v>30</v>
      </c>
      <c r="L399" s="145" t="s">
        <v>31</v>
      </c>
      <c r="M399" s="212" t="s">
        <v>87</v>
      </c>
      <c r="N399" s="211" t="s">
        <v>58</v>
      </c>
      <c r="O399" s="212"/>
      <c r="P399" s="140" t="s">
        <v>49</v>
      </c>
    </row>
    <row r="400" spans="2:16">
      <c r="B400" s="139">
        <v>1</v>
      </c>
      <c r="C400" s="299">
        <v>44685</v>
      </c>
      <c r="D400" s="300" t="s">
        <v>409</v>
      </c>
      <c r="E400" s="301" t="s">
        <v>410</v>
      </c>
      <c r="F400" s="302"/>
      <c r="G400" s="303" t="s">
        <v>411</v>
      </c>
      <c r="H400" s="302"/>
      <c r="I400" s="304"/>
      <c r="J400" s="305">
        <v>0.32</v>
      </c>
      <c r="K400" s="306"/>
      <c r="L400" s="229">
        <f t="shared" ref="L400" si="58">J400*13%</f>
        <v>4.1600000000000005E-2</v>
      </c>
      <c r="M400" s="161"/>
      <c r="N400" s="157"/>
      <c r="O400" s="227">
        <f t="shared" ref="O400" si="59">+J400+L400+M400</f>
        <v>0.36160000000000003</v>
      </c>
      <c r="P400" s="140"/>
    </row>
    <row r="401" spans="2:16">
      <c r="B401" s="139">
        <v>2</v>
      </c>
      <c r="C401" s="299">
        <v>44689</v>
      </c>
      <c r="D401" s="300" t="s">
        <v>412</v>
      </c>
      <c r="E401" s="301" t="s">
        <v>410</v>
      </c>
      <c r="F401" s="302"/>
      <c r="G401" s="303" t="s">
        <v>411</v>
      </c>
      <c r="H401" s="302"/>
      <c r="I401" s="304"/>
      <c r="J401" s="305">
        <v>0.17</v>
      </c>
      <c r="K401" s="306"/>
      <c r="L401" s="229">
        <f t="shared" ref="L401:L464" si="60">J401*13%</f>
        <v>2.2100000000000002E-2</v>
      </c>
      <c r="M401" s="161"/>
      <c r="N401" s="157"/>
      <c r="O401" s="227">
        <f t="shared" ref="O401:O437" si="61">+J401+L401+M401</f>
        <v>0.19210000000000002</v>
      </c>
      <c r="P401" s="140"/>
    </row>
    <row r="402" spans="2:16">
      <c r="B402" s="139">
        <v>3</v>
      </c>
      <c r="C402" s="299">
        <v>44695</v>
      </c>
      <c r="D402" s="300" t="s">
        <v>413</v>
      </c>
      <c r="E402" s="301" t="s">
        <v>410</v>
      </c>
      <c r="F402" s="302"/>
      <c r="G402" s="303" t="s">
        <v>411</v>
      </c>
      <c r="H402" s="302"/>
      <c r="I402" s="304"/>
      <c r="J402" s="305">
        <v>0.22</v>
      </c>
      <c r="K402" s="306"/>
      <c r="L402" s="229">
        <f t="shared" si="60"/>
        <v>2.86E-2</v>
      </c>
      <c r="M402" s="161"/>
      <c r="N402" s="157"/>
      <c r="O402" s="227">
        <f t="shared" si="61"/>
        <v>0.24859999999999999</v>
      </c>
      <c r="P402" s="140"/>
    </row>
    <row r="403" spans="2:16">
      <c r="B403" s="139">
        <v>4</v>
      </c>
      <c r="C403" s="299">
        <v>44696</v>
      </c>
      <c r="D403" s="300" t="s">
        <v>414</v>
      </c>
      <c r="E403" s="301" t="s">
        <v>410</v>
      </c>
      <c r="F403" s="302"/>
      <c r="G403" s="303" t="s">
        <v>411</v>
      </c>
      <c r="H403" s="302"/>
      <c r="I403" s="304"/>
      <c r="J403" s="305">
        <v>0.21</v>
      </c>
      <c r="K403" s="306"/>
      <c r="L403" s="229">
        <f t="shared" si="60"/>
        <v>2.7300000000000001E-2</v>
      </c>
      <c r="M403" s="161"/>
      <c r="N403" s="157"/>
      <c r="O403" s="227">
        <f t="shared" si="61"/>
        <v>0.23729999999999998</v>
      </c>
      <c r="P403" s="140"/>
    </row>
    <row r="404" spans="2:16">
      <c r="B404" s="139">
        <v>5</v>
      </c>
      <c r="C404" s="299">
        <v>44697</v>
      </c>
      <c r="D404" s="300" t="s">
        <v>415</v>
      </c>
      <c r="E404" s="301" t="s">
        <v>410</v>
      </c>
      <c r="F404" s="302"/>
      <c r="G404" s="303" t="s">
        <v>411</v>
      </c>
      <c r="H404" s="302"/>
      <c r="I404" s="304"/>
      <c r="J404" s="305">
        <v>0.24</v>
      </c>
      <c r="K404" s="306"/>
      <c r="L404" s="229">
        <f t="shared" si="60"/>
        <v>3.1199999999999999E-2</v>
      </c>
      <c r="M404" s="161"/>
      <c r="N404" s="157"/>
      <c r="O404" s="227">
        <f t="shared" si="61"/>
        <v>0.2712</v>
      </c>
      <c r="P404" s="140"/>
    </row>
    <row r="405" spans="2:16">
      <c r="B405" s="139">
        <v>6</v>
      </c>
      <c r="C405" s="299">
        <v>44702</v>
      </c>
      <c r="D405" s="300" t="s">
        <v>416</v>
      </c>
      <c r="E405" s="301" t="s">
        <v>410</v>
      </c>
      <c r="F405" s="302"/>
      <c r="G405" s="303" t="s">
        <v>411</v>
      </c>
      <c r="H405" s="302"/>
      <c r="I405" s="304"/>
      <c r="J405" s="305">
        <v>0.27</v>
      </c>
      <c r="K405" s="306"/>
      <c r="L405" s="229">
        <f t="shared" si="60"/>
        <v>3.5100000000000006E-2</v>
      </c>
      <c r="M405" s="161"/>
      <c r="N405" s="157"/>
      <c r="O405" s="227">
        <f t="shared" si="61"/>
        <v>0.30510000000000004</v>
      </c>
      <c r="P405" s="140"/>
    </row>
    <row r="406" spans="2:16">
      <c r="B406" s="139">
        <v>7</v>
      </c>
      <c r="C406" s="299">
        <v>44703</v>
      </c>
      <c r="D406" s="300" t="s">
        <v>417</v>
      </c>
      <c r="E406" s="301" t="s">
        <v>410</v>
      </c>
      <c r="F406" s="302"/>
      <c r="G406" s="303" t="s">
        <v>411</v>
      </c>
      <c r="H406" s="302"/>
      <c r="I406" s="304"/>
      <c r="J406" s="305">
        <v>0.11</v>
      </c>
      <c r="K406" s="306"/>
      <c r="L406" s="229">
        <f t="shared" si="60"/>
        <v>1.43E-2</v>
      </c>
      <c r="M406" s="161"/>
      <c r="N406" s="157"/>
      <c r="O406" s="227">
        <f t="shared" si="61"/>
        <v>0.12429999999999999</v>
      </c>
      <c r="P406" s="140"/>
    </row>
    <row r="407" spans="2:16">
      <c r="B407" s="139">
        <v>8</v>
      </c>
      <c r="C407" s="299">
        <v>44707</v>
      </c>
      <c r="D407" s="300" t="s">
        <v>418</v>
      </c>
      <c r="E407" s="301" t="s">
        <v>410</v>
      </c>
      <c r="F407" s="302"/>
      <c r="G407" s="303" t="s">
        <v>411</v>
      </c>
      <c r="H407" s="302"/>
      <c r="I407" s="304"/>
      <c r="J407" s="305">
        <v>0.2</v>
      </c>
      <c r="K407" s="306"/>
      <c r="L407" s="229">
        <f t="shared" si="60"/>
        <v>2.6000000000000002E-2</v>
      </c>
      <c r="M407" s="161"/>
      <c r="N407" s="157"/>
      <c r="O407" s="227">
        <f t="shared" si="61"/>
        <v>0.22600000000000001</v>
      </c>
      <c r="P407" s="140"/>
    </row>
    <row r="408" spans="2:16">
      <c r="B408" s="139">
        <v>9</v>
      </c>
      <c r="C408" s="299">
        <v>44709</v>
      </c>
      <c r="D408" s="300" t="s">
        <v>419</v>
      </c>
      <c r="E408" s="301" t="s">
        <v>410</v>
      </c>
      <c r="F408" s="302"/>
      <c r="G408" s="303" t="s">
        <v>411</v>
      </c>
      <c r="H408" s="302"/>
      <c r="I408" s="304"/>
      <c r="J408" s="305">
        <v>0.16</v>
      </c>
      <c r="K408" s="306"/>
      <c r="L408" s="229">
        <f t="shared" si="60"/>
        <v>2.0800000000000003E-2</v>
      </c>
      <c r="M408" s="161"/>
      <c r="N408" s="157"/>
      <c r="O408" s="227">
        <f t="shared" si="61"/>
        <v>0.18080000000000002</v>
      </c>
      <c r="P408" s="140"/>
    </row>
    <row r="409" spans="2:16">
      <c r="B409" s="139">
        <v>10</v>
      </c>
      <c r="C409" s="299">
        <v>44710</v>
      </c>
      <c r="D409" s="300" t="s">
        <v>420</v>
      </c>
      <c r="E409" s="301" t="s">
        <v>410</v>
      </c>
      <c r="F409" s="302"/>
      <c r="G409" s="303" t="s">
        <v>411</v>
      </c>
      <c r="H409" s="302"/>
      <c r="I409" s="304"/>
      <c r="J409" s="305">
        <v>0.17</v>
      </c>
      <c r="K409" s="306"/>
      <c r="L409" s="229">
        <f t="shared" si="60"/>
        <v>2.2100000000000002E-2</v>
      </c>
      <c r="M409" s="161"/>
      <c r="N409" s="157"/>
      <c r="O409" s="227">
        <f t="shared" si="61"/>
        <v>0.19210000000000002</v>
      </c>
      <c r="P409" s="140"/>
    </row>
    <row r="410" spans="2:16">
      <c r="B410" s="139">
        <v>11</v>
      </c>
      <c r="C410" s="299">
        <v>44713</v>
      </c>
      <c r="D410" s="300" t="s">
        <v>421</v>
      </c>
      <c r="E410" s="301" t="s">
        <v>410</v>
      </c>
      <c r="F410" s="302"/>
      <c r="G410" s="303" t="s">
        <v>411</v>
      </c>
      <c r="H410" s="302"/>
      <c r="I410" s="304"/>
      <c r="J410" s="305">
        <v>0.09</v>
      </c>
      <c r="K410" s="306"/>
      <c r="L410" s="307">
        <f t="shared" si="60"/>
        <v>1.17E-2</v>
      </c>
      <c r="M410" s="308"/>
      <c r="N410" s="309"/>
      <c r="O410" s="305">
        <f t="shared" si="61"/>
        <v>0.1017</v>
      </c>
      <c r="P410" s="140"/>
    </row>
    <row r="411" spans="2:16">
      <c r="B411" s="139">
        <v>12</v>
      </c>
      <c r="C411" s="299">
        <v>44715</v>
      </c>
      <c r="D411" s="300" t="s">
        <v>422</v>
      </c>
      <c r="E411" s="301" t="s">
        <v>410</v>
      </c>
      <c r="F411" s="302"/>
      <c r="G411" s="303" t="s">
        <v>411</v>
      </c>
      <c r="H411" s="302"/>
      <c r="I411" s="304"/>
      <c r="J411" s="305">
        <v>0.12</v>
      </c>
      <c r="K411" s="306"/>
      <c r="L411" s="307">
        <f t="shared" si="60"/>
        <v>1.5599999999999999E-2</v>
      </c>
      <c r="M411" s="308"/>
      <c r="N411" s="309"/>
      <c r="O411" s="305">
        <f t="shared" si="61"/>
        <v>0.1356</v>
      </c>
      <c r="P411" s="140"/>
    </row>
    <row r="412" spans="2:16">
      <c r="B412" s="139">
        <v>13</v>
      </c>
      <c r="C412" s="299">
        <v>44716</v>
      </c>
      <c r="D412" s="300" t="s">
        <v>423</v>
      </c>
      <c r="E412" s="301" t="s">
        <v>410</v>
      </c>
      <c r="F412" s="302"/>
      <c r="G412" s="303" t="s">
        <v>411</v>
      </c>
      <c r="H412" s="302"/>
      <c r="I412" s="304"/>
      <c r="J412" s="305">
        <v>15</v>
      </c>
      <c r="K412" s="306"/>
      <c r="L412" s="307">
        <f t="shared" si="60"/>
        <v>1.9500000000000002</v>
      </c>
      <c r="M412" s="308"/>
      <c r="N412" s="309"/>
      <c r="O412" s="305">
        <f t="shared" si="61"/>
        <v>16.95</v>
      </c>
      <c r="P412" s="140"/>
    </row>
    <row r="413" spans="2:16">
      <c r="B413" s="139">
        <v>14</v>
      </c>
      <c r="C413" s="299">
        <v>44720</v>
      </c>
      <c r="D413" s="300" t="s">
        <v>424</v>
      </c>
      <c r="E413" s="301" t="s">
        <v>410</v>
      </c>
      <c r="F413" s="302"/>
      <c r="G413" s="303" t="s">
        <v>411</v>
      </c>
      <c r="H413" s="302"/>
      <c r="I413" s="304"/>
      <c r="J413" s="305">
        <v>0.06</v>
      </c>
      <c r="K413" s="306"/>
      <c r="L413" s="307">
        <f t="shared" si="60"/>
        <v>7.7999999999999996E-3</v>
      </c>
      <c r="M413" s="308"/>
      <c r="N413" s="309"/>
      <c r="O413" s="305">
        <f t="shared" si="61"/>
        <v>6.7799999999999999E-2</v>
      </c>
      <c r="P413" s="140"/>
    </row>
    <row r="414" spans="2:16">
      <c r="B414" s="139">
        <v>15</v>
      </c>
      <c r="C414" s="299">
        <v>44723</v>
      </c>
      <c r="D414" s="300" t="s">
        <v>425</v>
      </c>
      <c r="E414" s="301" t="s">
        <v>410</v>
      </c>
      <c r="F414" s="302"/>
      <c r="G414" s="303" t="s">
        <v>411</v>
      </c>
      <c r="H414" s="302"/>
      <c r="I414" s="304"/>
      <c r="J414" s="305">
        <v>7.0000000000000007E-2</v>
      </c>
      <c r="K414" s="306"/>
      <c r="L414" s="307">
        <f t="shared" si="60"/>
        <v>9.1000000000000004E-3</v>
      </c>
      <c r="M414" s="308"/>
      <c r="N414" s="309"/>
      <c r="O414" s="305">
        <f t="shared" si="61"/>
        <v>7.9100000000000004E-2</v>
      </c>
      <c r="P414" s="140"/>
    </row>
    <row r="415" spans="2:16">
      <c r="B415" s="139">
        <v>16</v>
      </c>
      <c r="C415" s="299">
        <v>44729</v>
      </c>
      <c r="D415" s="300" t="s">
        <v>426</v>
      </c>
      <c r="E415" s="301" t="s">
        <v>410</v>
      </c>
      <c r="F415" s="302"/>
      <c r="G415" s="303" t="s">
        <v>411</v>
      </c>
      <c r="H415" s="302"/>
      <c r="I415" s="304"/>
      <c r="J415" s="305">
        <v>0.26</v>
      </c>
      <c r="K415" s="306"/>
      <c r="L415" s="307">
        <f t="shared" si="60"/>
        <v>3.3800000000000004E-2</v>
      </c>
      <c r="M415" s="308"/>
      <c r="N415" s="309"/>
      <c r="O415" s="305">
        <f t="shared" si="61"/>
        <v>0.29380000000000001</v>
      </c>
      <c r="P415" s="140"/>
    </row>
    <row r="416" spans="2:16">
      <c r="B416" s="139">
        <v>17</v>
      </c>
      <c r="C416" s="299">
        <v>44730</v>
      </c>
      <c r="D416" s="300" t="s">
        <v>427</v>
      </c>
      <c r="E416" s="301" t="s">
        <v>410</v>
      </c>
      <c r="F416" s="302"/>
      <c r="G416" s="303" t="s">
        <v>411</v>
      </c>
      <c r="H416" s="302"/>
      <c r="I416" s="304"/>
      <c r="J416" s="305">
        <v>7.0000000000000007E-2</v>
      </c>
      <c r="K416" s="306"/>
      <c r="L416" s="307">
        <f t="shared" si="60"/>
        <v>9.1000000000000004E-3</v>
      </c>
      <c r="M416" s="308"/>
      <c r="N416" s="309"/>
      <c r="O416" s="305">
        <f t="shared" si="61"/>
        <v>7.9100000000000004E-2</v>
      </c>
      <c r="P416" s="140"/>
    </row>
    <row r="417" spans="2:16">
      <c r="B417" s="139">
        <v>18</v>
      </c>
      <c r="C417" s="299">
        <v>44731</v>
      </c>
      <c r="D417" s="300" t="s">
        <v>428</v>
      </c>
      <c r="E417" s="301" t="s">
        <v>410</v>
      </c>
      <c r="F417" s="302"/>
      <c r="G417" s="303" t="s">
        <v>411</v>
      </c>
      <c r="H417" s="302"/>
      <c r="I417" s="304"/>
      <c r="J417" s="305">
        <v>0.17</v>
      </c>
      <c r="K417" s="306"/>
      <c r="L417" s="307">
        <f t="shared" si="60"/>
        <v>2.2100000000000002E-2</v>
      </c>
      <c r="M417" s="308"/>
      <c r="N417" s="309"/>
      <c r="O417" s="305">
        <f t="shared" si="61"/>
        <v>0.19210000000000002</v>
      </c>
      <c r="P417" s="140"/>
    </row>
    <row r="418" spans="2:16">
      <c r="B418" s="139">
        <v>19</v>
      </c>
      <c r="C418" s="299">
        <v>44734</v>
      </c>
      <c r="D418" s="300" t="s">
        <v>429</v>
      </c>
      <c r="E418" s="301" t="s">
        <v>410</v>
      </c>
      <c r="F418" s="302"/>
      <c r="G418" s="303" t="s">
        <v>411</v>
      </c>
      <c r="H418" s="302"/>
      <c r="I418" s="304"/>
      <c r="J418" s="305">
        <v>0.14000000000000001</v>
      </c>
      <c r="K418" s="306"/>
      <c r="L418" s="307">
        <f t="shared" si="60"/>
        <v>1.8200000000000001E-2</v>
      </c>
      <c r="M418" s="308"/>
      <c r="N418" s="309"/>
      <c r="O418" s="305">
        <f t="shared" si="61"/>
        <v>0.15820000000000001</v>
      </c>
      <c r="P418" s="140"/>
    </row>
    <row r="419" spans="2:16">
      <c r="B419" s="139">
        <v>20</v>
      </c>
      <c r="C419" s="299">
        <v>44743</v>
      </c>
      <c r="D419" s="300" t="s">
        <v>430</v>
      </c>
      <c r="E419" s="301" t="s">
        <v>410</v>
      </c>
      <c r="F419" s="302"/>
      <c r="G419" s="303" t="s">
        <v>411</v>
      </c>
      <c r="H419" s="302"/>
      <c r="I419" s="304"/>
      <c r="J419" s="305">
        <v>0.23</v>
      </c>
      <c r="K419" s="306"/>
      <c r="L419" s="307">
        <f t="shared" si="60"/>
        <v>2.9900000000000003E-2</v>
      </c>
      <c r="M419" s="308"/>
      <c r="N419" s="309"/>
      <c r="O419" s="305">
        <f t="shared" si="61"/>
        <v>0.25990000000000002</v>
      </c>
      <c r="P419" s="140"/>
    </row>
    <row r="420" spans="2:16">
      <c r="B420" s="139">
        <v>21</v>
      </c>
      <c r="C420" s="299">
        <v>44744</v>
      </c>
      <c r="D420" s="300" t="s">
        <v>431</v>
      </c>
      <c r="E420" s="301" t="s">
        <v>410</v>
      </c>
      <c r="F420" s="302"/>
      <c r="G420" s="303" t="s">
        <v>411</v>
      </c>
      <c r="H420" s="302"/>
      <c r="I420" s="304"/>
      <c r="J420" s="305">
        <v>0.17</v>
      </c>
      <c r="K420" s="306"/>
      <c r="L420" s="307">
        <f t="shared" si="60"/>
        <v>2.2100000000000002E-2</v>
      </c>
      <c r="M420" s="308"/>
      <c r="N420" s="305"/>
      <c r="O420" s="305">
        <f t="shared" si="61"/>
        <v>0.19210000000000002</v>
      </c>
      <c r="P420" s="140"/>
    </row>
    <row r="421" spans="2:16">
      <c r="B421" s="139">
        <v>22</v>
      </c>
      <c r="C421" s="299">
        <v>44745</v>
      </c>
      <c r="D421" s="300" t="s">
        <v>432</v>
      </c>
      <c r="E421" s="301" t="s">
        <v>410</v>
      </c>
      <c r="F421" s="302"/>
      <c r="G421" s="303" t="s">
        <v>411</v>
      </c>
      <c r="H421" s="302"/>
      <c r="I421" s="304"/>
      <c r="J421" s="305">
        <v>0.22</v>
      </c>
      <c r="K421" s="306"/>
      <c r="L421" s="307">
        <f t="shared" si="60"/>
        <v>2.86E-2</v>
      </c>
      <c r="M421" s="308"/>
      <c r="N421" s="309"/>
      <c r="O421" s="305">
        <f t="shared" si="61"/>
        <v>0.24859999999999999</v>
      </c>
      <c r="P421" s="140"/>
    </row>
    <row r="422" spans="2:16">
      <c r="B422" s="139">
        <v>23</v>
      </c>
      <c r="C422" s="299">
        <v>44746</v>
      </c>
      <c r="D422" s="300" t="s">
        <v>433</v>
      </c>
      <c r="E422" s="301" t="s">
        <v>410</v>
      </c>
      <c r="F422" s="302"/>
      <c r="G422" s="303" t="s">
        <v>411</v>
      </c>
      <c r="H422" s="302"/>
      <c r="I422" s="304"/>
      <c r="J422" s="305">
        <v>15</v>
      </c>
      <c r="K422" s="306"/>
      <c r="L422" s="307">
        <f t="shared" si="60"/>
        <v>1.9500000000000002</v>
      </c>
      <c r="M422" s="308"/>
      <c r="N422" s="309"/>
      <c r="O422" s="305">
        <f t="shared" si="61"/>
        <v>16.95</v>
      </c>
      <c r="P422" s="140"/>
    </row>
    <row r="423" spans="2:16">
      <c r="B423" s="139">
        <v>24</v>
      </c>
      <c r="C423" s="299">
        <v>44746</v>
      </c>
      <c r="D423" s="300" t="s">
        <v>434</v>
      </c>
      <c r="E423" s="301" t="s">
        <v>410</v>
      </c>
      <c r="F423" s="302"/>
      <c r="G423" s="303" t="s">
        <v>411</v>
      </c>
      <c r="H423" s="302"/>
      <c r="I423" s="304"/>
      <c r="J423" s="307">
        <v>0.08</v>
      </c>
      <c r="K423" s="306"/>
      <c r="L423" s="307">
        <f t="shared" si="60"/>
        <v>1.0400000000000001E-2</v>
      </c>
      <c r="M423" s="308"/>
      <c r="N423" s="309"/>
      <c r="O423" s="307">
        <f t="shared" si="61"/>
        <v>9.0400000000000008E-2</v>
      </c>
      <c r="P423" s="140"/>
    </row>
    <row r="424" spans="2:16">
      <c r="B424" s="139">
        <v>25</v>
      </c>
      <c r="C424" s="299">
        <v>44757</v>
      </c>
      <c r="D424" s="300" t="s">
        <v>435</v>
      </c>
      <c r="E424" s="301" t="s">
        <v>410</v>
      </c>
      <c r="F424" s="302"/>
      <c r="G424" s="303" t="s">
        <v>411</v>
      </c>
      <c r="H424" s="302"/>
      <c r="I424" s="304"/>
      <c r="J424" s="305">
        <v>0.13</v>
      </c>
      <c r="K424" s="306"/>
      <c r="L424" s="305">
        <f t="shared" si="60"/>
        <v>1.6900000000000002E-2</v>
      </c>
      <c r="M424" s="308"/>
      <c r="N424" s="309"/>
      <c r="O424" s="305">
        <f t="shared" si="61"/>
        <v>0.1469</v>
      </c>
      <c r="P424" s="140"/>
    </row>
    <row r="425" spans="2:16">
      <c r="B425" s="139">
        <v>26</v>
      </c>
      <c r="C425" s="299">
        <v>44758</v>
      </c>
      <c r="D425" s="300" t="s">
        <v>436</v>
      </c>
      <c r="E425" s="301" t="s">
        <v>410</v>
      </c>
      <c r="F425" s="302"/>
      <c r="G425" s="303" t="s">
        <v>411</v>
      </c>
      <c r="H425" s="302"/>
      <c r="I425" s="304"/>
      <c r="J425" s="305">
        <v>0.15</v>
      </c>
      <c r="K425" s="306"/>
      <c r="L425" s="307">
        <f t="shared" si="60"/>
        <v>1.95E-2</v>
      </c>
      <c r="M425" s="308"/>
      <c r="N425" s="309"/>
      <c r="O425" s="305">
        <f t="shared" si="61"/>
        <v>0.16949999999999998</v>
      </c>
      <c r="P425" s="140"/>
    </row>
    <row r="426" spans="2:16">
      <c r="B426" s="139">
        <v>27</v>
      </c>
      <c r="C426" s="299">
        <v>44759</v>
      </c>
      <c r="D426" s="300" t="s">
        <v>437</v>
      </c>
      <c r="E426" s="301" t="s">
        <v>410</v>
      </c>
      <c r="F426" s="302"/>
      <c r="G426" s="303" t="s">
        <v>411</v>
      </c>
      <c r="H426" s="302"/>
      <c r="I426" s="304"/>
      <c r="J426" s="305">
        <v>0.16</v>
      </c>
      <c r="K426" s="306"/>
      <c r="L426" s="307">
        <f t="shared" si="60"/>
        <v>2.0800000000000003E-2</v>
      </c>
      <c r="M426" s="308"/>
      <c r="N426" s="309"/>
      <c r="O426" s="305">
        <f t="shared" si="61"/>
        <v>0.18080000000000002</v>
      </c>
      <c r="P426" s="140"/>
    </row>
    <row r="427" spans="2:16">
      <c r="B427" s="139">
        <v>28</v>
      </c>
      <c r="C427" s="299">
        <v>44760</v>
      </c>
      <c r="D427" s="300" t="s">
        <v>438</v>
      </c>
      <c r="E427" s="301" t="s">
        <v>410</v>
      </c>
      <c r="F427" s="302"/>
      <c r="G427" s="303" t="s">
        <v>411</v>
      </c>
      <c r="H427" s="302"/>
      <c r="I427" s="304"/>
      <c r="J427" s="305">
        <v>0.06</v>
      </c>
      <c r="K427" s="306"/>
      <c r="L427" s="307">
        <f t="shared" si="60"/>
        <v>7.7999999999999996E-3</v>
      </c>
      <c r="M427" s="308"/>
      <c r="N427" s="309"/>
      <c r="O427" s="305">
        <f t="shared" si="61"/>
        <v>6.7799999999999999E-2</v>
      </c>
      <c r="P427" s="140"/>
    </row>
    <row r="428" spans="2:16">
      <c r="B428" s="139">
        <v>29</v>
      </c>
      <c r="C428" s="299">
        <v>44761</v>
      </c>
      <c r="D428" s="300" t="s">
        <v>439</v>
      </c>
      <c r="E428" s="301" t="s">
        <v>410</v>
      </c>
      <c r="F428" s="302"/>
      <c r="G428" s="303" t="s">
        <v>411</v>
      </c>
      <c r="H428" s="302"/>
      <c r="I428" s="304"/>
      <c r="J428" s="305">
        <v>0.08</v>
      </c>
      <c r="K428" s="306"/>
      <c r="L428" s="307">
        <f t="shared" si="60"/>
        <v>1.0400000000000001E-2</v>
      </c>
      <c r="M428" s="308"/>
      <c r="N428" s="309"/>
      <c r="O428" s="305">
        <f t="shared" si="61"/>
        <v>9.0400000000000008E-2</v>
      </c>
      <c r="P428" s="140"/>
    </row>
    <row r="429" spans="2:16">
      <c r="B429" s="139">
        <v>30</v>
      </c>
      <c r="C429" s="299">
        <v>44762</v>
      </c>
      <c r="D429" s="300" t="s">
        <v>440</v>
      </c>
      <c r="E429" s="301" t="s">
        <v>410</v>
      </c>
      <c r="F429" s="302"/>
      <c r="G429" s="303" t="s">
        <v>411</v>
      </c>
      <c r="H429" s="302"/>
      <c r="I429" s="304"/>
      <c r="J429" s="307">
        <v>0.04</v>
      </c>
      <c r="K429" s="306"/>
      <c r="L429" s="307">
        <f t="shared" si="60"/>
        <v>5.2000000000000006E-3</v>
      </c>
      <c r="M429" s="308"/>
      <c r="N429" s="309"/>
      <c r="O429" s="305">
        <f t="shared" si="61"/>
        <v>4.5200000000000004E-2</v>
      </c>
      <c r="P429" s="140"/>
    </row>
    <row r="430" spans="2:16">
      <c r="B430" s="139">
        <v>31</v>
      </c>
      <c r="C430" s="299">
        <v>44763</v>
      </c>
      <c r="D430" s="300" t="s">
        <v>441</v>
      </c>
      <c r="E430" s="301" t="s">
        <v>410</v>
      </c>
      <c r="F430" s="302"/>
      <c r="G430" s="303" t="s">
        <v>411</v>
      </c>
      <c r="H430" s="302"/>
      <c r="I430" s="304"/>
      <c r="J430" s="307">
        <v>0.04</v>
      </c>
      <c r="K430" s="306"/>
      <c r="L430" s="307">
        <f t="shared" si="60"/>
        <v>5.2000000000000006E-3</v>
      </c>
      <c r="M430" s="308"/>
      <c r="N430" s="309"/>
      <c r="O430" s="305">
        <f t="shared" si="61"/>
        <v>4.5200000000000004E-2</v>
      </c>
      <c r="P430" s="140"/>
    </row>
    <row r="431" spans="2:16">
      <c r="B431" s="139">
        <v>32</v>
      </c>
      <c r="C431" s="299">
        <v>44765</v>
      </c>
      <c r="D431" s="300" t="s">
        <v>442</v>
      </c>
      <c r="E431" s="301" t="s">
        <v>410</v>
      </c>
      <c r="F431" s="302"/>
      <c r="G431" s="303" t="s">
        <v>411</v>
      </c>
      <c r="H431" s="302"/>
      <c r="I431" s="304"/>
      <c r="J431" s="305">
        <v>0.06</v>
      </c>
      <c r="K431" s="306"/>
      <c r="L431" s="307">
        <f t="shared" si="60"/>
        <v>7.7999999999999996E-3</v>
      </c>
      <c r="M431" s="308"/>
      <c r="N431" s="309"/>
      <c r="O431" s="305">
        <f t="shared" si="61"/>
        <v>6.7799999999999999E-2</v>
      </c>
      <c r="P431" s="140"/>
    </row>
    <row r="432" spans="2:16">
      <c r="B432" s="139">
        <v>33</v>
      </c>
      <c r="C432" s="218">
        <v>44744</v>
      </c>
      <c r="D432" s="203" t="s">
        <v>374</v>
      </c>
      <c r="E432" s="178" t="s">
        <v>192</v>
      </c>
      <c r="F432" s="139"/>
      <c r="G432" s="168" t="s">
        <v>96</v>
      </c>
      <c r="H432" s="139"/>
      <c r="I432" s="140"/>
      <c r="J432" s="227">
        <v>281.38</v>
      </c>
      <c r="K432" s="160"/>
      <c r="L432" s="229">
        <f t="shared" si="60"/>
        <v>36.5794</v>
      </c>
      <c r="M432" s="161"/>
      <c r="N432" s="157"/>
      <c r="O432" s="227">
        <f t="shared" si="61"/>
        <v>317.95940000000002</v>
      </c>
      <c r="P432" s="140"/>
    </row>
    <row r="433" spans="2:16">
      <c r="B433" s="139">
        <v>34</v>
      </c>
      <c r="C433" s="218">
        <v>44744</v>
      </c>
      <c r="D433" s="203" t="s">
        <v>375</v>
      </c>
      <c r="E433" s="284" t="s">
        <v>175</v>
      </c>
      <c r="F433" s="209"/>
      <c r="G433" s="208" t="s">
        <v>103</v>
      </c>
      <c r="H433" s="209"/>
      <c r="I433" s="210"/>
      <c r="J433" s="228">
        <v>8.42</v>
      </c>
      <c r="K433" s="240"/>
      <c r="L433" s="239">
        <f t="shared" si="60"/>
        <v>1.0946</v>
      </c>
      <c r="M433" s="161"/>
      <c r="N433" s="157"/>
      <c r="O433" s="228">
        <f t="shared" si="61"/>
        <v>9.5145999999999997</v>
      </c>
      <c r="P433" s="140"/>
    </row>
    <row r="434" spans="2:16">
      <c r="B434" s="139">
        <v>35</v>
      </c>
      <c r="C434" s="218">
        <v>44746</v>
      </c>
      <c r="D434" s="203" t="s">
        <v>376</v>
      </c>
      <c r="E434" s="178" t="s">
        <v>197</v>
      </c>
      <c r="F434" s="139"/>
      <c r="G434" s="168" t="s">
        <v>90</v>
      </c>
      <c r="H434" s="209"/>
      <c r="I434" s="210"/>
      <c r="J434" s="227">
        <v>679.09</v>
      </c>
      <c r="K434" s="160"/>
      <c r="L434" s="229">
        <f t="shared" si="60"/>
        <v>88.281700000000001</v>
      </c>
      <c r="M434" s="161"/>
      <c r="N434" s="157"/>
      <c r="O434" s="227">
        <f t="shared" si="61"/>
        <v>767.37170000000003</v>
      </c>
      <c r="P434" s="140"/>
    </row>
    <row r="435" spans="2:16">
      <c r="B435" s="139">
        <v>36</v>
      </c>
      <c r="C435" s="218">
        <v>44746</v>
      </c>
      <c r="D435" s="203" t="s">
        <v>377</v>
      </c>
      <c r="E435" s="178" t="s">
        <v>197</v>
      </c>
      <c r="F435" s="139"/>
      <c r="G435" s="168" t="s">
        <v>90</v>
      </c>
      <c r="H435" s="209"/>
      <c r="I435" s="210"/>
      <c r="J435" s="227">
        <v>50.06</v>
      </c>
      <c r="K435" s="160"/>
      <c r="L435" s="229">
        <f t="shared" si="60"/>
        <v>6.5078000000000005</v>
      </c>
      <c r="M435" s="161"/>
      <c r="N435" s="157"/>
      <c r="O435" s="227">
        <f t="shared" si="61"/>
        <v>56.567800000000005</v>
      </c>
      <c r="P435" s="140"/>
    </row>
    <row r="436" spans="2:16">
      <c r="B436" s="139">
        <v>37</v>
      </c>
      <c r="C436" s="218">
        <v>44746</v>
      </c>
      <c r="D436" s="203" t="s">
        <v>378</v>
      </c>
      <c r="E436" s="178" t="s">
        <v>165</v>
      </c>
      <c r="F436" s="139"/>
      <c r="G436" s="168" t="s">
        <v>98</v>
      </c>
      <c r="H436" s="209"/>
      <c r="I436" s="210"/>
      <c r="J436" s="227">
        <v>70.06</v>
      </c>
      <c r="K436" s="160"/>
      <c r="L436" s="229">
        <f t="shared" si="60"/>
        <v>9.107800000000001</v>
      </c>
      <c r="M436" s="161"/>
      <c r="N436" s="157"/>
      <c r="O436" s="227">
        <f t="shared" si="61"/>
        <v>79.1678</v>
      </c>
      <c r="P436" s="140"/>
    </row>
    <row r="437" spans="2:16">
      <c r="B437" s="139">
        <v>38</v>
      </c>
      <c r="C437" s="218">
        <v>44746</v>
      </c>
      <c r="D437" s="203" t="s">
        <v>379</v>
      </c>
      <c r="E437" s="178" t="s">
        <v>165</v>
      </c>
      <c r="F437" s="139"/>
      <c r="G437" s="168" t="s">
        <v>98</v>
      </c>
      <c r="H437" s="209"/>
      <c r="I437" s="210"/>
      <c r="J437" s="227">
        <v>6.28</v>
      </c>
      <c r="K437" s="160"/>
      <c r="L437" s="229">
        <f t="shared" si="60"/>
        <v>0.81640000000000001</v>
      </c>
      <c r="M437" s="161"/>
      <c r="N437" s="157"/>
      <c r="O437" s="227">
        <f t="shared" si="61"/>
        <v>7.0964</v>
      </c>
      <c r="P437" s="140"/>
    </row>
    <row r="438" spans="2:16">
      <c r="B438" s="139">
        <v>39</v>
      </c>
      <c r="C438" s="218">
        <v>44747</v>
      </c>
      <c r="D438" s="203" t="s">
        <v>380</v>
      </c>
      <c r="E438" s="178" t="s">
        <v>176</v>
      </c>
      <c r="F438" s="209"/>
      <c r="G438" s="217" t="s">
        <v>105</v>
      </c>
      <c r="H438" s="209"/>
      <c r="I438" s="210"/>
      <c r="J438" s="228">
        <v>8.43</v>
      </c>
      <c r="K438" s="240"/>
      <c r="L438" s="239">
        <f t="shared" si="60"/>
        <v>1.0959000000000001</v>
      </c>
      <c r="M438" s="161"/>
      <c r="N438" s="157"/>
      <c r="O438" s="228">
        <f>+J438+L438+M438+N438</f>
        <v>9.5259</v>
      </c>
      <c r="P438" s="140"/>
    </row>
    <row r="439" spans="2:16">
      <c r="B439" s="139">
        <v>40</v>
      </c>
      <c r="C439" s="218">
        <v>44750</v>
      </c>
      <c r="D439" s="203" t="s">
        <v>381</v>
      </c>
      <c r="E439" s="178" t="s">
        <v>170</v>
      </c>
      <c r="F439" s="139"/>
      <c r="G439" s="168" t="s">
        <v>93</v>
      </c>
      <c r="H439" s="209"/>
      <c r="I439" s="210"/>
      <c r="J439" s="227">
        <v>26.55</v>
      </c>
      <c r="K439" s="160"/>
      <c r="L439" s="229">
        <f t="shared" si="60"/>
        <v>3.4515000000000002</v>
      </c>
      <c r="M439" s="161"/>
      <c r="N439" s="157"/>
      <c r="O439" s="227">
        <f t="shared" ref="O439:O444" si="62">+J439+L439+M439</f>
        <v>30.0015</v>
      </c>
      <c r="P439" s="140"/>
    </row>
    <row r="440" spans="2:16">
      <c r="B440" s="139">
        <v>41</v>
      </c>
      <c r="C440" s="218">
        <v>44750</v>
      </c>
      <c r="D440" s="203" t="s">
        <v>382</v>
      </c>
      <c r="E440" s="178" t="s">
        <v>352</v>
      </c>
      <c r="F440" s="209"/>
      <c r="G440" s="208" t="s">
        <v>353</v>
      </c>
      <c r="H440" s="209"/>
      <c r="I440" s="210"/>
      <c r="J440" s="228">
        <v>8.4499999999999993</v>
      </c>
      <c r="K440" s="240"/>
      <c r="L440" s="239">
        <f t="shared" si="60"/>
        <v>1.0985</v>
      </c>
      <c r="M440" s="161"/>
      <c r="N440" s="157"/>
      <c r="O440" s="228">
        <f t="shared" si="62"/>
        <v>9.5484999999999989</v>
      </c>
      <c r="P440" s="140"/>
    </row>
    <row r="441" spans="2:16">
      <c r="B441" s="139">
        <v>42</v>
      </c>
      <c r="C441" s="218">
        <v>44750</v>
      </c>
      <c r="D441" s="203" t="s">
        <v>363</v>
      </c>
      <c r="E441" s="286" t="s">
        <v>176</v>
      </c>
      <c r="F441" s="209"/>
      <c r="G441" s="217" t="s">
        <v>105</v>
      </c>
      <c r="H441" s="139"/>
      <c r="I441" s="140"/>
      <c r="J441" s="228">
        <v>8.41</v>
      </c>
      <c r="K441" s="240"/>
      <c r="L441" s="239">
        <f t="shared" si="60"/>
        <v>1.0933000000000002</v>
      </c>
      <c r="M441" s="161"/>
      <c r="N441" s="157"/>
      <c r="O441" s="228">
        <f t="shared" si="62"/>
        <v>9.5032999999999994</v>
      </c>
      <c r="P441" s="140"/>
    </row>
    <row r="442" spans="2:16">
      <c r="B442" s="139">
        <v>43</v>
      </c>
      <c r="C442" s="218">
        <v>44752</v>
      </c>
      <c r="D442" s="203" t="s">
        <v>384</v>
      </c>
      <c r="E442" s="284" t="s">
        <v>175</v>
      </c>
      <c r="F442" s="209"/>
      <c r="G442" s="208" t="s">
        <v>103</v>
      </c>
      <c r="H442" s="139"/>
      <c r="I442" s="140"/>
      <c r="J442" s="228">
        <v>16.87</v>
      </c>
      <c r="K442" s="240"/>
      <c r="L442" s="239">
        <f t="shared" si="60"/>
        <v>2.1931000000000003</v>
      </c>
      <c r="M442" s="161"/>
      <c r="N442" s="157"/>
      <c r="O442" s="228">
        <f t="shared" si="62"/>
        <v>19.063100000000002</v>
      </c>
      <c r="P442" s="140"/>
    </row>
    <row r="443" spans="2:16">
      <c r="B443" s="139">
        <v>44</v>
      </c>
      <c r="C443" s="218">
        <v>44753</v>
      </c>
      <c r="D443" s="203" t="s">
        <v>383</v>
      </c>
      <c r="E443" s="284" t="s">
        <v>175</v>
      </c>
      <c r="F443" s="209"/>
      <c r="G443" s="208" t="s">
        <v>103</v>
      </c>
      <c r="H443" s="139"/>
      <c r="I443" s="140"/>
      <c r="J443" s="228">
        <v>16.84</v>
      </c>
      <c r="K443" s="240"/>
      <c r="L443" s="239">
        <f t="shared" si="60"/>
        <v>2.1892</v>
      </c>
      <c r="M443" s="161"/>
      <c r="N443" s="157"/>
      <c r="O443" s="228">
        <f t="shared" si="62"/>
        <v>19.029199999999999</v>
      </c>
      <c r="P443" s="140"/>
    </row>
    <row r="444" spans="2:16">
      <c r="B444" s="139">
        <v>45</v>
      </c>
      <c r="C444" s="218">
        <v>44754</v>
      </c>
      <c r="D444" s="203" t="s">
        <v>345</v>
      </c>
      <c r="E444" s="178" t="s">
        <v>165</v>
      </c>
      <c r="F444" s="139"/>
      <c r="G444" s="168" t="s">
        <v>98</v>
      </c>
      <c r="H444" s="209"/>
      <c r="I444" s="140"/>
      <c r="J444" s="227">
        <v>39.74</v>
      </c>
      <c r="K444" s="160"/>
      <c r="L444" s="229">
        <f t="shared" si="60"/>
        <v>5.1662000000000008</v>
      </c>
      <c r="M444" s="161"/>
      <c r="N444" s="157"/>
      <c r="O444" s="227">
        <f t="shared" si="62"/>
        <v>44.906200000000005</v>
      </c>
      <c r="P444" s="140"/>
    </row>
    <row r="445" spans="2:16">
      <c r="B445" s="139">
        <v>46</v>
      </c>
      <c r="C445" s="218">
        <v>44754</v>
      </c>
      <c r="D445" s="203" t="s">
        <v>345</v>
      </c>
      <c r="E445" s="178" t="s">
        <v>165</v>
      </c>
      <c r="F445" s="139"/>
      <c r="G445" s="168" t="s">
        <v>98</v>
      </c>
      <c r="H445" s="139"/>
      <c r="I445" s="140"/>
      <c r="J445" s="227">
        <v>84.35</v>
      </c>
      <c r="K445" s="160"/>
      <c r="L445" s="229">
        <f t="shared" si="60"/>
        <v>10.9655</v>
      </c>
      <c r="M445" s="161"/>
      <c r="N445" s="157"/>
      <c r="O445" s="227">
        <f>+J445+L445+M445+N445</f>
        <v>95.3155</v>
      </c>
      <c r="P445" s="140"/>
    </row>
    <row r="446" spans="2:16">
      <c r="B446" s="139">
        <v>47</v>
      </c>
      <c r="C446" s="218">
        <v>44754</v>
      </c>
      <c r="D446" s="203" t="s">
        <v>385</v>
      </c>
      <c r="E446" s="178" t="s">
        <v>179</v>
      </c>
      <c r="F446" s="139"/>
      <c r="G446" s="173" t="s">
        <v>100</v>
      </c>
      <c r="H446" s="139"/>
      <c r="I446" s="140"/>
      <c r="J446" s="227">
        <v>92.54</v>
      </c>
      <c r="K446" s="160"/>
      <c r="L446" s="229">
        <f t="shared" si="60"/>
        <v>12.030200000000001</v>
      </c>
      <c r="M446" s="161"/>
      <c r="N446" s="157"/>
      <c r="O446" s="227">
        <f>+J446+L446+M446+N446</f>
        <v>104.5702</v>
      </c>
      <c r="P446" s="140"/>
    </row>
    <row r="447" spans="2:16">
      <c r="B447" s="139">
        <v>48</v>
      </c>
      <c r="C447" s="218">
        <v>44758</v>
      </c>
      <c r="D447" s="203" t="s">
        <v>386</v>
      </c>
      <c r="E447" s="178" t="s">
        <v>246</v>
      </c>
      <c r="F447" s="139"/>
      <c r="G447" s="173" t="s">
        <v>330</v>
      </c>
      <c r="H447" s="139"/>
      <c r="I447" s="140"/>
      <c r="J447" s="227">
        <v>3.54</v>
      </c>
      <c r="K447" s="160"/>
      <c r="L447" s="229">
        <f t="shared" si="60"/>
        <v>0.4602</v>
      </c>
      <c r="M447" s="161"/>
      <c r="N447" s="157"/>
      <c r="O447" s="227">
        <f>+J447+L447+M447+N447</f>
        <v>4.0002000000000004</v>
      </c>
      <c r="P447" s="140"/>
    </row>
    <row r="448" spans="2:16">
      <c r="B448" s="139">
        <v>49</v>
      </c>
      <c r="C448" s="218">
        <v>44758</v>
      </c>
      <c r="D448" s="203" t="s">
        <v>387</v>
      </c>
      <c r="E448" s="231" t="s">
        <v>369</v>
      </c>
      <c r="F448" s="139"/>
      <c r="G448" s="169" t="s">
        <v>95</v>
      </c>
      <c r="H448" s="209"/>
      <c r="I448" s="210"/>
      <c r="J448" s="227">
        <v>5.71</v>
      </c>
      <c r="K448" s="160"/>
      <c r="L448" s="229">
        <f t="shared" si="60"/>
        <v>0.74230000000000007</v>
      </c>
      <c r="M448" s="161"/>
      <c r="N448" s="157"/>
      <c r="O448" s="227">
        <f t="shared" ref="O448:O451" si="63">+J448+L448+M448</f>
        <v>6.4523000000000001</v>
      </c>
      <c r="P448" s="140"/>
    </row>
    <row r="449" spans="2:16">
      <c r="B449" s="139">
        <v>50</v>
      </c>
      <c r="C449" s="218">
        <v>44758</v>
      </c>
      <c r="D449" s="203" t="s">
        <v>388</v>
      </c>
      <c r="E449" s="178" t="s">
        <v>324</v>
      </c>
      <c r="F449" s="139"/>
      <c r="G449" s="168" t="s">
        <v>101</v>
      </c>
      <c r="H449" s="209"/>
      <c r="I449" s="210"/>
      <c r="J449" s="227">
        <v>15.27</v>
      </c>
      <c r="K449" s="160"/>
      <c r="L449" s="229">
        <f t="shared" si="60"/>
        <v>1.9851000000000001</v>
      </c>
      <c r="M449" s="161"/>
      <c r="N449" s="157"/>
      <c r="O449" s="227">
        <f t="shared" si="63"/>
        <v>17.255099999999999</v>
      </c>
      <c r="P449" s="140"/>
    </row>
    <row r="450" spans="2:16">
      <c r="B450" s="139">
        <v>51</v>
      </c>
      <c r="C450" s="218">
        <v>44760</v>
      </c>
      <c r="D450" s="203" t="s">
        <v>389</v>
      </c>
      <c r="E450" s="231" t="s">
        <v>390</v>
      </c>
      <c r="F450" s="139"/>
      <c r="G450" s="174" t="s">
        <v>391</v>
      </c>
      <c r="H450" s="209"/>
      <c r="I450" s="210"/>
      <c r="J450" s="227">
        <v>5.53</v>
      </c>
      <c r="K450" s="160"/>
      <c r="L450" s="229">
        <f t="shared" si="60"/>
        <v>0.71890000000000009</v>
      </c>
      <c r="M450" s="161"/>
      <c r="N450" s="157"/>
      <c r="O450" s="227">
        <f t="shared" si="63"/>
        <v>6.2489000000000008</v>
      </c>
      <c r="P450" s="140"/>
    </row>
    <row r="451" spans="2:16">
      <c r="B451" s="139">
        <v>52</v>
      </c>
      <c r="C451" s="218">
        <v>44760</v>
      </c>
      <c r="D451" s="203" t="s">
        <v>392</v>
      </c>
      <c r="E451" s="284" t="s">
        <v>175</v>
      </c>
      <c r="F451" s="209"/>
      <c r="G451" s="208" t="s">
        <v>103</v>
      </c>
      <c r="H451" s="209"/>
      <c r="I451" s="210"/>
      <c r="J451" s="228">
        <v>8.42</v>
      </c>
      <c r="K451" s="240"/>
      <c r="L451" s="239">
        <f t="shared" si="60"/>
        <v>1.0946</v>
      </c>
      <c r="M451" s="161"/>
      <c r="N451" s="157"/>
      <c r="O451" s="228">
        <f t="shared" si="63"/>
        <v>9.5145999999999997</v>
      </c>
      <c r="P451" s="140"/>
    </row>
    <row r="452" spans="2:16">
      <c r="B452" s="139">
        <v>53</v>
      </c>
      <c r="C452" s="218">
        <v>44760</v>
      </c>
      <c r="D452" s="203" t="s">
        <v>393</v>
      </c>
      <c r="E452" s="178" t="s">
        <v>165</v>
      </c>
      <c r="F452" s="139"/>
      <c r="G452" s="168" t="s">
        <v>98</v>
      </c>
      <c r="H452" s="209"/>
      <c r="I452" s="210"/>
      <c r="J452" s="227">
        <v>113.94</v>
      </c>
      <c r="K452" s="160"/>
      <c r="L452" s="229">
        <f t="shared" si="60"/>
        <v>14.812200000000001</v>
      </c>
      <c r="M452" s="161"/>
      <c r="N452" s="227">
        <v>1.1399999999999999</v>
      </c>
      <c r="O452" s="227">
        <f>+J452+L452+M452+N452</f>
        <v>129.89219999999997</v>
      </c>
      <c r="P452" s="140"/>
    </row>
    <row r="453" spans="2:16">
      <c r="B453" s="139">
        <v>54</v>
      </c>
      <c r="C453" s="218">
        <v>44761</v>
      </c>
      <c r="D453" s="203" t="s">
        <v>394</v>
      </c>
      <c r="E453" s="284" t="s">
        <v>175</v>
      </c>
      <c r="F453" s="209"/>
      <c r="G453" s="208" t="s">
        <v>103</v>
      </c>
      <c r="H453" s="209"/>
      <c r="I453" s="210"/>
      <c r="J453" s="228">
        <v>16.84</v>
      </c>
      <c r="K453" s="240"/>
      <c r="L453" s="239">
        <f t="shared" si="60"/>
        <v>2.1892</v>
      </c>
      <c r="M453" s="161"/>
      <c r="N453" s="157"/>
      <c r="O453" s="228">
        <f t="shared" ref="O453:O454" si="64">+J453+L453+M453</f>
        <v>19.029199999999999</v>
      </c>
      <c r="P453" s="140"/>
    </row>
    <row r="454" spans="2:16">
      <c r="B454" s="139">
        <v>55</v>
      </c>
      <c r="C454" s="218">
        <v>44764</v>
      </c>
      <c r="D454" s="203" t="s">
        <v>395</v>
      </c>
      <c r="E454" s="284" t="s">
        <v>175</v>
      </c>
      <c r="F454" s="209"/>
      <c r="G454" s="208" t="s">
        <v>103</v>
      </c>
      <c r="H454" s="209"/>
      <c r="I454" s="210"/>
      <c r="J454" s="228">
        <v>8.44</v>
      </c>
      <c r="K454" s="240"/>
      <c r="L454" s="239">
        <f t="shared" si="60"/>
        <v>1.0972</v>
      </c>
      <c r="M454" s="161"/>
      <c r="N454" s="157"/>
      <c r="O454" s="228">
        <f t="shared" si="64"/>
        <v>9.5371999999999986</v>
      </c>
      <c r="P454" s="140"/>
    </row>
    <row r="455" spans="2:16">
      <c r="B455" s="139">
        <v>56</v>
      </c>
      <c r="C455" s="218">
        <v>44764</v>
      </c>
      <c r="D455" s="203" t="s">
        <v>396</v>
      </c>
      <c r="E455" s="284" t="s">
        <v>200</v>
      </c>
      <c r="F455" s="209"/>
      <c r="G455" s="208" t="s">
        <v>97</v>
      </c>
      <c r="H455" s="209"/>
      <c r="I455" s="210"/>
      <c r="J455" s="239">
        <v>8.43</v>
      </c>
      <c r="K455" s="240"/>
      <c r="L455" s="239">
        <f t="shared" si="60"/>
        <v>1.0959000000000001</v>
      </c>
      <c r="M455" s="242"/>
      <c r="N455" s="243"/>
      <c r="O455" s="239">
        <f t="shared" ref="O455" si="65">+J455+L455+M455+N455</f>
        <v>9.5259</v>
      </c>
      <c r="P455" s="140"/>
    </row>
    <row r="456" spans="2:16">
      <c r="B456" s="139">
        <v>57</v>
      </c>
      <c r="C456" s="218">
        <v>44764</v>
      </c>
      <c r="D456" s="203" t="s">
        <v>397</v>
      </c>
      <c r="E456" s="284" t="s">
        <v>161</v>
      </c>
      <c r="F456" s="139"/>
      <c r="G456" s="208" t="s">
        <v>162</v>
      </c>
      <c r="H456" s="209"/>
      <c r="I456" s="210"/>
      <c r="J456" s="228">
        <v>16.88</v>
      </c>
      <c r="K456" s="160"/>
      <c r="L456" s="228">
        <f t="shared" si="60"/>
        <v>2.1943999999999999</v>
      </c>
      <c r="M456" s="161"/>
      <c r="N456" s="157"/>
      <c r="O456" s="228">
        <f t="shared" ref="O456" si="66">+J456+L456+M456</f>
        <v>19.074399999999997</v>
      </c>
      <c r="P456" s="140"/>
    </row>
    <row r="457" spans="2:16">
      <c r="B457" s="139">
        <v>58</v>
      </c>
      <c r="C457" s="218">
        <v>44765</v>
      </c>
      <c r="D457" s="203" t="s">
        <v>398</v>
      </c>
      <c r="E457" s="178" t="s">
        <v>168</v>
      </c>
      <c r="F457" s="139"/>
      <c r="G457" s="173" t="s">
        <v>92</v>
      </c>
      <c r="H457" s="139"/>
      <c r="I457" s="210"/>
      <c r="J457" s="227">
        <v>28.13</v>
      </c>
      <c r="K457" s="160"/>
      <c r="L457" s="229">
        <f t="shared" si="60"/>
        <v>3.6568999999999998</v>
      </c>
      <c r="M457" s="161"/>
      <c r="N457" s="157"/>
      <c r="O457" s="227">
        <f>+J457+L457+M457+N457</f>
        <v>31.786899999999999</v>
      </c>
      <c r="P457" s="140"/>
    </row>
    <row r="458" spans="2:16">
      <c r="B458" s="139">
        <v>59</v>
      </c>
      <c r="C458" s="218">
        <v>44765</v>
      </c>
      <c r="D458" s="203" t="s">
        <v>399</v>
      </c>
      <c r="E458" s="178" t="s">
        <v>168</v>
      </c>
      <c r="F458" s="139"/>
      <c r="G458" s="173" t="s">
        <v>92</v>
      </c>
      <c r="H458" s="139"/>
      <c r="I458" s="210"/>
      <c r="J458" s="227">
        <v>44.07</v>
      </c>
      <c r="K458" s="160"/>
      <c r="L458" s="229">
        <f t="shared" si="60"/>
        <v>5.7290999999999999</v>
      </c>
      <c r="M458" s="161"/>
      <c r="N458" s="157"/>
      <c r="O458" s="227">
        <f>+J458+L458+M458+N458</f>
        <v>49.799100000000003</v>
      </c>
      <c r="P458" s="140"/>
    </row>
    <row r="459" spans="2:16">
      <c r="B459" s="139">
        <v>60</v>
      </c>
      <c r="C459" s="218">
        <v>44767</v>
      </c>
      <c r="D459" s="203" t="s">
        <v>400</v>
      </c>
      <c r="E459" s="178" t="s">
        <v>165</v>
      </c>
      <c r="F459" s="139"/>
      <c r="G459" s="168" t="s">
        <v>98</v>
      </c>
      <c r="H459" s="209"/>
      <c r="I459" s="210"/>
      <c r="J459" s="227">
        <v>92.04</v>
      </c>
      <c r="K459" s="160"/>
      <c r="L459" s="229">
        <f t="shared" si="60"/>
        <v>11.965200000000001</v>
      </c>
      <c r="M459" s="161"/>
      <c r="N459" s="157"/>
      <c r="O459" s="227">
        <f t="shared" ref="O459:O465" si="67">+J459+L459+M459</f>
        <v>104.0052</v>
      </c>
      <c r="P459" s="140"/>
    </row>
    <row r="460" spans="2:16">
      <c r="B460" s="139">
        <v>61</v>
      </c>
      <c r="C460" s="218">
        <v>44767</v>
      </c>
      <c r="D460" s="203" t="s">
        <v>401</v>
      </c>
      <c r="E460" s="178" t="s">
        <v>165</v>
      </c>
      <c r="F460" s="139"/>
      <c r="G460" s="168" t="s">
        <v>98</v>
      </c>
      <c r="H460" s="209"/>
      <c r="I460" s="210"/>
      <c r="J460" s="227">
        <v>71.75</v>
      </c>
      <c r="K460" s="160"/>
      <c r="L460" s="229">
        <f t="shared" si="60"/>
        <v>9.3275000000000006</v>
      </c>
      <c r="M460" s="161"/>
      <c r="N460" s="157"/>
      <c r="O460" s="227">
        <f t="shared" si="67"/>
        <v>81.077500000000001</v>
      </c>
      <c r="P460" s="140"/>
    </row>
    <row r="461" spans="2:16">
      <c r="B461" s="139">
        <v>62</v>
      </c>
      <c r="C461" s="218">
        <v>44770</v>
      </c>
      <c r="D461" s="203" t="s">
        <v>402</v>
      </c>
      <c r="E461" s="178" t="s">
        <v>192</v>
      </c>
      <c r="F461" s="139"/>
      <c r="G461" s="168" t="s">
        <v>96</v>
      </c>
      <c r="H461" s="139"/>
      <c r="I461" s="210"/>
      <c r="J461" s="229">
        <v>299.13</v>
      </c>
      <c r="K461" s="160"/>
      <c r="L461" s="229">
        <f t="shared" si="60"/>
        <v>38.886900000000004</v>
      </c>
      <c r="M461" s="161"/>
      <c r="N461" s="157"/>
      <c r="O461" s="227">
        <f t="shared" si="67"/>
        <v>338.01690000000002</v>
      </c>
      <c r="P461" s="140"/>
    </row>
    <row r="462" spans="2:16">
      <c r="B462" s="139">
        <v>63</v>
      </c>
      <c r="C462" s="218">
        <v>44770</v>
      </c>
      <c r="D462" s="203" t="s">
        <v>403</v>
      </c>
      <c r="E462" s="178" t="s">
        <v>404</v>
      </c>
      <c r="F462" s="139"/>
      <c r="G462" s="298" t="s">
        <v>405</v>
      </c>
      <c r="H462" s="209"/>
      <c r="I462" s="210"/>
      <c r="J462" s="229">
        <v>16.829999999999998</v>
      </c>
      <c r="K462" s="160"/>
      <c r="L462" s="229">
        <f t="shared" si="60"/>
        <v>2.1879</v>
      </c>
      <c r="M462" s="161"/>
      <c r="N462" s="157"/>
      <c r="O462" s="227">
        <f t="shared" si="67"/>
        <v>19.017899999999997</v>
      </c>
      <c r="P462" s="140"/>
    </row>
    <row r="463" spans="2:16">
      <c r="B463" s="139">
        <v>64</v>
      </c>
      <c r="C463" s="218">
        <v>44770</v>
      </c>
      <c r="D463" s="203" t="s">
        <v>406</v>
      </c>
      <c r="E463" s="284" t="s">
        <v>175</v>
      </c>
      <c r="F463" s="209"/>
      <c r="G463" s="208" t="s">
        <v>103</v>
      </c>
      <c r="H463" s="209"/>
      <c r="I463" s="210"/>
      <c r="J463" s="228">
        <v>8.44</v>
      </c>
      <c r="K463" s="240"/>
      <c r="L463" s="239">
        <f t="shared" si="60"/>
        <v>1.0972</v>
      </c>
      <c r="M463" s="161"/>
      <c r="N463" s="157"/>
      <c r="O463" s="228">
        <f t="shared" si="67"/>
        <v>9.5371999999999986</v>
      </c>
      <c r="P463" s="140"/>
    </row>
    <row r="464" spans="2:16">
      <c r="B464" s="139">
        <v>65</v>
      </c>
      <c r="C464" s="218">
        <v>44771</v>
      </c>
      <c r="D464" s="203" t="s">
        <v>407</v>
      </c>
      <c r="E464" s="286" t="s">
        <v>176</v>
      </c>
      <c r="F464" s="209"/>
      <c r="G464" s="217" t="s">
        <v>105</v>
      </c>
      <c r="H464" s="139"/>
      <c r="I464" s="140"/>
      <c r="J464" s="228">
        <v>16.86</v>
      </c>
      <c r="K464" s="240"/>
      <c r="L464" s="239">
        <f t="shared" si="60"/>
        <v>2.1918000000000002</v>
      </c>
      <c r="M464" s="161"/>
      <c r="N464" s="157"/>
      <c r="O464" s="228">
        <f t="shared" si="67"/>
        <v>19.0518</v>
      </c>
      <c r="P464" s="140"/>
    </row>
    <row r="465" spans="2:16">
      <c r="B465" s="139">
        <v>66</v>
      </c>
      <c r="C465" s="218">
        <v>44771</v>
      </c>
      <c r="D465" s="203" t="s">
        <v>408</v>
      </c>
      <c r="E465" s="231" t="s">
        <v>390</v>
      </c>
      <c r="F465" s="139"/>
      <c r="G465" s="174" t="s">
        <v>391</v>
      </c>
      <c r="H465" s="209"/>
      <c r="I465" s="210"/>
      <c r="J465" s="227">
        <v>17.7</v>
      </c>
      <c r="K465" s="160"/>
      <c r="L465" s="229">
        <f t="shared" ref="L465" si="68">J465*13%</f>
        <v>2.3010000000000002</v>
      </c>
      <c r="M465" s="161"/>
      <c r="N465" s="157"/>
      <c r="O465" s="227">
        <f t="shared" si="67"/>
        <v>20.000999999999998</v>
      </c>
      <c r="P465" s="140"/>
    </row>
    <row r="466" spans="2:16">
      <c r="B466" s="139"/>
      <c r="C466" s="225"/>
      <c r="D466" s="177"/>
      <c r="E466" s="177"/>
      <c r="F466" s="139"/>
      <c r="G466" s="226"/>
      <c r="H466" s="139"/>
      <c r="I466" s="140"/>
      <c r="J466" s="204"/>
      <c r="K466" s="160"/>
      <c r="L466" s="204"/>
      <c r="M466" s="161"/>
      <c r="N466" s="157"/>
      <c r="O466" s="22"/>
      <c r="P466" s="140"/>
    </row>
    <row r="467" spans="2:16">
      <c r="B467" s="128"/>
      <c r="C467" s="129"/>
      <c r="D467" s="125"/>
      <c r="E467" s="125"/>
      <c r="F467" s="125"/>
      <c r="G467" s="149" t="s">
        <v>88</v>
      </c>
      <c r="H467" s="130"/>
      <c r="I467" s="130"/>
      <c r="J467" s="230">
        <f>SUM(J400:J465)</f>
        <v>2229.89</v>
      </c>
      <c r="K467" s="230"/>
      <c r="L467" s="230">
        <f>SUM(L400:L465)</f>
        <v>289.88569999999999</v>
      </c>
      <c r="M467" s="230">
        <f>SUM(M400:M465)</f>
        <v>0</v>
      </c>
      <c r="N467" s="230">
        <f>SUM(N400:N465)</f>
        <v>1.1399999999999999</v>
      </c>
      <c r="O467" s="230">
        <f>SUM(O400:O465)</f>
        <v>2520.9157000000005</v>
      </c>
      <c r="P467" s="130"/>
    </row>
    <row r="468" spans="2:16">
      <c r="B468" s="310"/>
      <c r="C468" s="311"/>
      <c r="D468" s="312"/>
      <c r="E468" s="312"/>
      <c r="F468" s="312"/>
      <c r="G468" s="47"/>
      <c r="H468" s="313"/>
      <c r="I468" s="313"/>
      <c r="J468" s="314"/>
      <c r="K468" s="314"/>
      <c r="L468" s="314"/>
      <c r="M468" s="314"/>
      <c r="N468" s="314"/>
      <c r="O468" s="314"/>
      <c r="P468" s="313"/>
    </row>
    <row r="469" spans="2:16">
      <c r="B469" s="310"/>
      <c r="C469" s="311"/>
      <c r="D469" s="312"/>
      <c r="E469" s="312"/>
      <c r="F469" s="312"/>
      <c r="G469" s="47"/>
      <c r="H469" s="313"/>
      <c r="I469" s="313"/>
      <c r="J469" s="314"/>
      <c r="K469" s="314"/>
      <c r="L469" s="314"/>
      <c r="M469" s="314"/>
      <c r="N469" s="314"/>
      <c r="O469" s="314"/>
      <c r="P469" s="313"/>
    </row>
    <row r="470" spans="2:16" ht="15.6">
      <c r="B470" s="147" t="s">
        <v>11</v>
      </c>
      <c r="C470" s="147"/>
      <c r="D470" s="147"/>
      <c r="I470" s="213"/>
      <c r="J470" s="329">
        <f>J433+J438+J440+J441+J442+J443+J451+J453+J454+J455+J456+J463+J464</f>
        <v>151.73000000000002</v>
      </c>
      <c r="L470" s="329">
        <f>L433+L438+L440+L441+L442+L443+L451+L453+L454+L455+L456+L463+L464</f>
        <v>19.724900000000005</v>
      </c>
      <c r="O470" s="103"/>
      <c r="P470" s="103"/>
    </row>
    <row r="471" spans="2:16" ht="17.399999999999999">
      <c r="B471" s="90" t="s">
        <v>84</v>
      </c>
      <c r="C471" s="83"/>
      <c r="D471" s="83"/>
      <c r="I471" s="47"/>
      <c r="J471" s="206"/>
      <c r="L471" s="103"/>
    </row>
    <row r="472" spans="2:16" ht="15.6">
      <c r="B472" s="83" t="s">
        <v>12</v>
      </c>
      <c r="L472" s="103"/>
    </row>
    <row r="480" spans="2:16" ht="16.2">
      <c r="B480" s="87" t="s">
        <v>15</v>
      </c>
      <c r="C480" s="79"/>
      <c r="D480" s="148" t="s">
        <v>139</v>
      </c>
      <c r="E480" s="79"/>
      <c r="F480" s="79"/>
      <c r="G480" s="79"/>
      <c r="H480" s="115"/>
      <c r="I480" s="115"/>
      <c r="J480" s="115"/>
      <c r="K480" s="162" t="s">
        <v>80</v>
      </c>
      <c r="L480" s="115"/>
      <c r="M480" s="115"/>
      <c r="N480" s="115"/>
      <c r="O480" s="115"/>
      <c r="P480" s="79"/>
    </row>
    <row r="481" spans="2:16" ht="16.2">
      <c r="B481" s="79" t="s">
        <v>140</v>
      </c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</row>
    <row r="482" spans="2:16" ht="16.8">
      <c r="B482" s="79" t="s">
        <v>16</v>
      </c>
      <c r="C482" s="256" t="s">
        <v>446</v>
      </c>
      <c r="D482" s="88" t="s">
        <v>8</v>
      </c>
      <c r="E482" s="80">
        <v>2022</v>
      </c>
      <c r="F482" s="80"/>
      <c r="G482" s="79"/>
      <c r="H482" s="79"/>
      <c r="I482" s="79"/>
      <c r="J482" s="79"/>
      <c r="K482" s="79"/>
      <c r="L482" s="79"/>
      <c r="M482" s="79"/>
      <c r="N482" s="79"/>
      <c r="O482" s="79"/>
      <c r="P482" s="79"/>
    </row>
    <row r="483" spans="2:16">
      <c r="B483" s="131" t="s">
        <v>17</v>
      </c>
      <c r="C483" s="131" t="s">
        <v>18</v>
      </c>
      <c r="D483" s="131" t="s">
        <v>19</v>
      </c>
      <c r="E483" s="131" t="s">
        <v>19</v>
      </c>
      <c r="F483" s="132" t="s">
        <v>44</v>
      </c>
      <c r="G483" s="133"/>
      <c r="H483" s="134"/>
      <c r="I483" s="135"/>
      <c r="J483" s="134"/>
      <c r="K483" s="135"/>
      <c r="L483" s="136"/>
      <c r="M483" s="135" t="s">
        <v>85</v>
      </c>
      <c r="N483" s="137" t="s">
        <v>56</v>
      </c>
      <c r="O483" s="138" t="s">
        <v>20</v>
      </c>
      <c r="P483" s="132" t="s">
        <v>47</v>
      </c>
    </row>
    <row r="484" spans="2:16">
      <c r="B484" s="139" t="s">
        <v>21</v>
      </c>
      <c r="C484" s="139" t="s">
        <v>22</v>
      </c>
      <c r="D484" s="139" t="s">
        <v>23</v>
      </c>
      <c r="E484" s="139" t="s">
        <v>24</v>
      </c>
      <c r="F484" s="140" t="s">
        <v>45</v>
      </c>
      <c r="G484" s="81" t="s">
        <v>25</v>
      </c>
      <c r="H484" s="211" t="s">
        <v>26</v>
      </c>
      <c r="I484" s="214"/>
      <c r="J484" s="212" t="s">
        <v>27</v>
      </c>
      <c r="K484" s="215"/>
      <c r="L484" s="216"/>
      <c r="M484" s="141" t="s">
        <v>86</v>
      </c>
      <c r="N484" s="142" t="s">
        <v>57</v>
      </c>
      <c r="O484" s="143" t="s">
        <v>28</v>
      </c>
      <c r="P484" s="140" t="s">
        <v>48</v>
      </c>
    </row>
    <row r="485" spans="2:16">
      <c r="B485" s="144"/>
      <c r="C485" s="144"/>
      <c r="D485" s="144"/>
      <c r="E485" s="144"/>
      <c r="F485" s="145" t="s">
        <v>46</v>
      </c>
      <c r="G485" s="146"/>
      <c r="H485" s="144" t="s">
        <v>29</v>
      </c>
      <c r="I485" s="145" t="s">
        <v>30</v>
      </c>
      <c r="J485" s="144" t="s">
        <v>29</v>
      </c>
      <c r="K485" s="145" t="s">
        <v>30</v>
      </c>
      <c r="L485" s="145" t="s">
        <v>31</v>
      </c>
      <c r="M485" s="212" t="s">
        <v>87</v>
      </c>
      <c r="N485" s="211" t="s">
        <v>58</v>
      </c>
      <c r="O485" s="212"/>
      <c r="P485" s="140" t="s">
        <v>49</v>
      </c>
    </row>
    <row r="486" spans="2:16">
      <c r="B486" s="139">
        <v>1</v>
      </c>
      <c r="C486" s="218">
        <v>44774</v>
      </c>
      <c r="D486" s="203" t="s">
        <v>447</v>
      </c>
      <c r="E486" s="178" t="s">
        <v>259</v>
      </c>
      <c r="F486" s="139"/>
      <c r="G486" s="173" t="s">
        <v>260</v>
      </c>
      <c r="H486" s="139"/>
      <c r="I486" s="140"/>
      <c r="J486" s="227">
        <v>1.33</v>
      </c>
      <c r="K486" s="160"/>
      <c r="L486" s="229">
        <f t="shared" ref="L486:L501" si="69">J486*13%</f>
        <v>0.17290000000000003</v>
      </c>
      <c r="M486" s="161"/>
      <c r="N486" s="157"/>
      <c r="O486" s="227">
        <f t="shared" ref="O486:O491" si="70">+J486+L486+M486</f>
        <v>1.5029000000000001</v>
      </c>
      <c r="P486" s="140"/>
    </row>
    <row r="487" spans="2:16">
      <c r="B487" s="139">
        <v>2</v>
      </c>
      <c r="C487" s="218">
        <v>44753</v>
      </c>
      <c r="D487" s="203" t="s">
        <v>448</v>
      </c>
      <c r="E487" s="178" t="s">
        <v>197</v>
      </c>
      <c r="F487" s="139"/>
      <c r="G487" s="168" t="s">
        <v>90</v>
      </c>
      <c r="H487" s="209"/>
      <c r="I487" s="210"/>
      <c r="J487" s="227">
        <v>46.55</v>
      </c>
      <c r="K487" s="160"/>
      <c r="L487" s="229">
        <f t="shared" si="69"/>
        <v>6.0514999999999999</v>
      </c>
      <c r="M487" s="161"/>
      <c r="N487" s="157"/>
      <c r="O487" s="227">
        <f t="shared" si="70"/>
        <v>52.601499999999994</v>
      </c>
      <c r="P487" s="140"/>
    </row>
    <row r="488" spans="2:16">
      <c r="B488" s="139">
        <v>3</v>
      </c>
      <c r="C488" s="218">
        <v>44774</v>
      </c>
      <c r="D488" s="203" t="s">
        <v>449</v>
      </c>
      <c r="E488" s="178" t="s">
        <v>197</v>
      </c>
      <c r="F488" s="139"/>
      <c r="G488" s="168" t="s">
        <v>90</v>
      </c>
      <c r="H488" s="209"/>
      <c r="I488" s="210"/>
      <c r="J488" s="227">
        <v>630</v>
      </c>
      <c r="K488" s="160"/>
      <c r="L488" s="229">
        <f t="shared" si="69"/>
        <v>81.900000000000006</v>
      </c>
      <c r="M488" s="161"/>
      <c r="N488" s="157"/>
      <c r="O488" s="227">
        <f t="shared" si="70"/>
        <v>711.9</v>
      </c>
      <c r="P488" s="140"/>
    </row>
    <row r="489" spans="2:16">
      <c r="B489" s="139">
        <v>4</v>
      </c>
      <c r="C489" s="218">
        <v>44775</v>
      </c>
      <c r="D489" s="203" t="s">
        <v>450</v>
      </c>
      <c r="E489" s="178" t="s">
        <v>165</v>
      </c>
      <c r="F489" s="139"/>
      <c r="G489" s="168" t="s">
        <v>98</v>
      </c>
      <c r="H489" s="209"/>
      <c r="I489" s="210"/>
      <c r="J489" s="227">
        <v>62.43</v>
      </c>
      <c r="K489" s="160"/>
      <c r="L489" s="229">
        <f t="shared" si="69"/>
        <v>8.1158999999999999</v>
      </c>
      <c r="M489" s="161"/>
      <c r="N489" s="157"/>
      <c r="O489" s="227">
        <f t="shared" si="70"/>
        <v>70.545900000000003</v>
      </c>
      <c r="P489" s="140"/>
    </row>
    <row r="490" spans="2:16">
      <c r="B490" s="139">
        <v>5</v>
      </c>
      <c r="C490" s="218">
        <v>44778</v>
      </c>
      <c r="D490" s="203" t="s">
        <v>451</v>
      </c>
      <c r="E490" s="178" t="s">
        <v>176</v>
      </c>
      <c r="F490" s="209"/>
      <c r="G490" s="217" t="s">
        <v>105</v>
      </c>
      <c r="H490" s="209"/>
      <c r="I490" s="210"/>
      <c r="J490" s="228">
        <v>16.82</v>
      </c>
      <c r="K490" s="240"/>
      <c r="L490" s="239">
        <f t="shared" si="69"/>
        <v>2.1866000000000003</v>
      </c>
      <c r="M490" s="161"/>
      <c r="N490" s="157"/>
      <c r="O490" s="227">
        <f t="shared" si="70"/>
        <v>19.006599999999999</v>
      </c>
      <c r="P490" s="140"/>
    </row>
    <row r="491" spans="2:16">
      <c r="B491" s="139">
        <v>6</v>
      </c>
      <c r="C491" s="218">
        <v>44781</v>
      </c>
      <c r="D491" s="203" t="s">
        <v>452</v>
      </c>
      <c r="E491" s="284" t="s">
        <v>175</v>
      </c>
      <c r="F491" s="209"/>
      <c r="G491" s="208" t="s">
        <v>103</v>
      </c>
      <c r="H491" s="139"/>
      <c r="I491" s="210"/>
      <c r="J491" s="228">
        <v>16.87</v>
      </c>
      <c r="K491" s="240"/>
      <c r="L491" s="239">
        <f t="shared" si="69"/>
        <v>2.1931000000000003</v>
      </c>
      <c r="M491" s="161"/>
      <c r="N491" s="157"/>
      <c r="O491" s="227">
        <f t="shared" si="70"/>
        <v>19.063100000000002</v>
      </c>
      <c r="P491" s="140"/>
    </row>
    <row r="492" spans="2:16">
      <c r="B492" s="139">
        <v>7</v>
      </c>
      <c r="C492" s="218">
        <v>44781</v>
      </c>
      <c r="D492" s="203" t="s">
        <v>453</v>
      </c>
      <c r="E492" s="178" t="s">
        <v>341</v>
      </c>
      <c r="F492" s="139"/>
      <c r="G492" s="168" t="s">
        <v>342</v>
      </c>
      <c r="H492" s="209"/>
      <c r="I492" s="210"/>
      <c r="J492" s="227">
        <v>29.9</v>
      </c>
      <c r="K492" s="160"/>
      <c r="L492" s="229">
        <f t="shared" si="69"/>
        <v>3.887</v>
      </c>
      <c r="M492" s="161"/>
      <c r="N492" s="157"/>
      <c r="O492" s="227">
        <f>+J492+L492+M492+N492</f>
        <v>33.786999999999999</v>
      </c>
      <c r="P492" s="140"/>
    </row>
    <row r="493" spans="2:16">
      <c r="B493" s="139">
        <v>8</v>
      </c>
      <c r="C493" s="218">
        <v>44782</v>
      </c>
      <c r="D493" s="203" t="s">
        <v>454</v>
      </c>
      <c r="E493" s="178" t="s">
        <v>165</v>
      </c>
      <c r="F493" s="139"/>
      <c r="G493" s="168" t="s">
        <v>98</v>
      </c>
      <c r="H493" s="209"/>
      <c r="I493" s="210"/>
      <c r="J493" s="227">
        <v>127.64</v>
      </c>
      <c r="K493" s="160"/>
      <c r="L493" s="229">
        <f t="shared" si="69"/>
        <v>16.5932</v>
      </c>
      <c r="M493" s="161">
        <v>1.28</v>
      </c>
      <c r="N493" s="157"/>
      <c r="O493" s="227">
        <f t="shared" ref="O493:O499" si="71">+J493+L493+M493</f>
        <v>145.51320000000001</v>
      </c>
      <c r="P493" s="140"/>
    </row>
    <row r="494" spans="2:16">
      <c r="B494" s="139">
        <v>9</v>
      </c>
      <c r="C494" s="218">
        <v>44785</v>
      </c>
      <c r="D494" s="203" t="s">
        <v>455</v>
      </c>
      <c r="E494" s="178" t="s">
        <v>456</v>
      </c>
      <c r="F494" s="139"/>
      <c r="G494" s="168" t="s">
        <v>457</v>
      </c>
      <c r="H494" s="209"/>
      <c r="I494" s="210"/>
      <c r="J494" s="227">
        <v>21.146999999999998</v>
      </c>
      <c r="K494" s="160"/>
      <c r="L494" s="229">
        <f t="shared" si="69"/>
        <v>2.7491099999999999</v>
      </c>
      <c r="M494" s="161"/>
      <c r="N494" s="157"/>
      <c r="O494" s="227">
        <f t="shared" si="71"/>
        <v>23.89611</v>
      </c>
      <c r="P494" s="140"/>
    </row>
    <row r="495" spans="2:16">
      <c r="B495" s="139">
        <v>10</v>
      </c>
      <c r="C495" s="218">
        <v>44787</v>
      </c>
      <c r="D495" s="203" t="s">
        <v>458</v>
      </c>
      <c r="E495" s="178" t="s">
        <v>183</v>
      </c>
      <c r="F495" s="139"/>
      <c r="G495" s="168" t="s">
        <v>119</v>
      </c>
      <c r="H495" s="139"/>
      <c r="I495" s="140"/>
      <c r="J495" s="227">
        <v>6.08</v>
      </c>
      <c r="K495" s="160"/>
      <c r="L495" s="229">
        <f t="shared" si="69"/>
        <v>0.79039999999999999</v>
      </c>
      <c r="M495" s="161"/>
      <c r="N495" s="157"/>
      <c r="O495" s="227">
        <f t="shared" si="71"/>
        <v>6.8704000000000001</v>
      </c>
      <c r="P495" s="140"/>
    </row>
    <row r="496" spans="2:16">
      <c r="B496" s="139">
        <v>11</v>
      </c>
      <c r="C496" s="218">
        <v>44789</v>
      </c>
      <c r="D496" s="203" t="s">
        <v>459</v>
      </c>
      <c r="E496" s="178" t="s">
        <v>165</v>
      </c>
      <c r="F496" s="139"/>
      <c r="G496" s="168" t="s">
        <v>98</v>
      </c>
      <c r="H496" s="139"/>
      <c r="I496" s="140"/>
      <c r="J496" s="227">
        <v>108.59</v>
      </c>
      <c r="K496" s="160"/>
      <c r="L496" s="229">
        <f t="shared" si="69"/>
        <v>14.116700000000002</v>
      </c>
      <c r="M496" s="161">
        <v>1.0900000000000001</v>
      </c>
      <c r="N496" s="157"/>
      <c r="O496" s="227">
        <f t="shared" si="71"/>
        <v>123.79670000000002</v>
      </c>
      <c r="P496" s="140"/>
    </row>
    <row r="497" spans="2:16">
      <c r="B497" s="139">
        <v>12</v>
      </c>
      <c r="C497" s="218">
        <v>44789</v>
      </c>
      <c r="D497" s="203" t="s">
        <v>460</v>
      </c>
      <c r="E497" s="178" t="s">
        <v>165</v>
      </c>
      <c r="F497" s="139"/>
      <c r="G497" s="168" t="s">
        <v>98</v>
      </c>
      <c r="H497" s="139"/>
      <c r="I497" s="140"/>
      <c r="J497" s="227">
        <v>40.71</v>
      </c>
      <c r="K497" s="160"/>
      <c r="L497" s="229">
        <f t="shared" ref="L497" si="72">J497*13%</f>
        <v>5.2923</v>
      </c>
      <c r="M497" s="161"/>
      <c r="N497" s="157"/>
      <c r="O497" s="227">
        <f t="shared" si="71"/>
        <v>46.002299999999998</v>
      </c>
      <c r="P497" s="140"/>
    </row>
    <row r="498" spans="2:16">
      <c r="B498" s="139">
        <v>13</v>
      </c>
      <c r="C498" s="218">
        <v>44789</v>
      </c>
      <c r="D498" s="203" t="s">
        <v>461</v>
      </c>
      <c r="E498" s="178" t="s">
        <v>179</v>
      </c>
      <c r="F498" s="139"/>
      <c r="G498" s="173" t="s">
        <v>100</v>
      </c>
      <c r="H498" s="209"/>
      <c r="I498" s="140"/>
      <c r="J498" s="227">
        <v>82.33</v>
      </c>
      <c r="K498" s="160"/>
      <c r="L498" s="229">
        <f t="shared" si="69"/>
        <v>10.7029</v>
      </c>
      <c r="M498" s="161"/>
      <c r="N498" s="157"/>
      <c r="O498" s="227">
        <f t="shared" si="71"/>
        <v>93.032899999999998</v>
      </c>
      <c r="P498" s="140"/>
    </row>
    <row r="499" spans="2:16">
      <c r="B499" s="139">
        <v>14</v>
      </c>
      <c r="C499" s="218">
        <v>44789</v>
      </c>
      <c r="D499" s="203" t="s">
        <v>462</v>
      </c>
      <c r="E499" s="284" t="s">
        <v>175</v>
      </c>
      <c r="F499" s="209"/>
      <c r="G499" s="208" t="s">
        <v>103</v>
      </c>
      <c r="H499" s="139"/>
      <c r="I499" s="210"/>
      <c r="J499" s="228">
        <v>16.84</v>
      </c>
      <c r="K499" s="240"/>
      <c r="L499" s="239">
        <f t="shared" ref="L499" si="73">J499*13%</f>
        <v>2.1892</v>
      </c>
      <c r="M499" s="161"/>
      <c r="N499" s="157"/>
      <c r="O499" s="227">
        <f t="shared" si="71"/>
        <v>19.029199999999999</v>
      </c>
      <c r="P499" s="140"/>
    </row>
    <row r="500" spans="2:16">
      <c r="B500" s="139">
        <v>15</v>
      </c>
      <c r="C500" s="218">
        <v>44792</v>
      </c>
      <c r="D500" s="203" t="s">
        <v>463</v>
      </c>
      <c r="E500" s="284" t="s">
        <v>175</v>
      </c>
      <c r="F500" s="209"/>
      <c r="G500" s="208" t="s">
        <v>103</v>
      </c>
      <c r="H500" s="139"/>
      <c r="I500" s="210"/>
      <c r="J500" s="228">
        <v>21.09</v>
      </c>
      <c r="K500" s="240"/>
      <c r="L500" s="239">
        <f t="shared" ref="L500" si="74">J500*13%</f>
        <v>2.7417000000000002</v>
      </c>
      <c r="M500" s="161"/>
      <c r="N500" s="157"/>
      <c r="O500" s="227">
        <f t="shared" ref="O500" si="75">+J500+L500+M500</f>
        <v>23.831700000000001</v>
      </c>
      <c r="P500" s="140"/>
    </row>
    <row r="501" spans="2:16">
      <c r="B501" s="139">
        <v>16</v>
      </c>
      <c r="C501" s="218">
        <v>44795</v>
      </c>
      <c r="D501" s="203" t="s">
        <v>464</v>
      </c>
      <c r="E501" s="178" t="s">
        <v>165</v>
      </c>
      <c r="F501" s="139"/>
      <c r="G501" s="168" t="s">
        <v>98</v>
      </c>
      <c r="H501" s="139"/>
      <c r="I501" s="140"/>
      <c r="J501" s="227">
        <v>45.46</v>
      </c>
      <c r="K501" s="160"/>
      <c r="L501" s="229">
        <f t="shared" si="69"/>
        <v>5.9098000000000006</v>
      </c>
      <c r="M501" s="161"/>
      <c r="N501" s="157"/>
      <c r="O501" s="227">
        <f>+J501+L501+M501+N501</f>
        <v>51.369799999999998</v>
      </c>
      <c r="P501" s="140"/>
    </row>
    <row r="502" spans="2:16">
      <c r="B502" s="139">
        <v>17</v>
      </c>
      <c r="C502" s="218">
        <v>44795</v>
      </c>
      <c r="D502" s="203" t="s">
        <v>465</v>
      </c>
      <c r="E502" s="178" t="s">
        <v>165</v>
      </c>
      <c r="F502" s="139"/>
      <c r="G502" s="168" t="s">
        <v>98</v>
      </c>
      <c r="H502" s="139"/>
      <c r="I502" s="140"/>
      <c r="J502" s="227">
        <v>66.459999999999994</v>
      </c>
      <c r="K502" s="160"/>
      <c r="L502" s="229">
        <f t="shared" ref="L502:L517" si="76">J502*13%</f>
        <v>8.6397999999999993</v>
      </c>
      <c r="M502" s="161"/>
      <c r="N502" s="157"/>
      <c r="O502" s="227">
        <f>+J502+L502+M502+N502</f>
        <v>75.099799999999988</v>
      </c>
      <c r="P502" s="140"/>
    </row>
    <row r="503" spans="2:16">
      <c r="B503" s="139">
        <v>18</v>
      </c>
      <c r="C503" s="218">
        <v>44796</v>
      </c>
      <c r="D503" s="203" t="s">
        <v>466</v>
      </c>
      <c r="E503" s="284" t="s">
        <v>175</v>
      </c>
      <c r="F503" s="209"/>
      <c r="G503" s="208" t="s">
        <v>103</v>
      </c>
      <c r="H503" s="139"/>
      <c r="I503" s="210"/>
      <c r="J503" s="228">
        <v>8.42</v>
      </c>
      <c r="K503" s="240"/>
      <c r="L503" s="239">
        <f t="shared" si="76"/>
        <v>1.0946</v>
      </c>
      <c r="M503" s="161"/>
      <c r="N503" s="157"/>
      <c r="O503" s="227">
        <f t="shared" ref="O503" si="77">+J503+L503+M503</f>
        <v>9.5145999999999997</v>
      </c>
      <c r="P503" s="140"/>
    </row>
    <row r="504" spans="2:16">
      <c r="B504" s="139">
        <v>19</v>
      </c>
      <c r="C504" s="218">
        <v>44798</v>
      </c>
      <c r="D504" s="203" t="s">
        <v>467</v>
      </c>
      <c r="E504" s="178" t="s">
        <v>192</v>
      </c>
      <c r="F504" s="139"/>
      <c r="G504" s="168" t="s">
        <v>96</v>
      </c>
      <c r="H504" s="209"/>
      <c r="I504" s="210"/>
      <c r="J504" s="227">
        <v>35</v>
      </c>
      <c r="K504" s="160"/>
      <c r="L504" s="229">
        <f t="shared" si="76"/>
        <v>4.55</v>
      </c>
      <c r="M504" s="161"/>
      <c r="N504" s="157"/>
      <c r="O504" s="227">
        <f t="shared" ref="O504:O505" si="78">+J504+L504+M504</f>
        <v>39.549999999999997</v>
      </c>
      <c r="P504" s="140"/>
    </row>
    <row r="505" spans="2:16">
      <c r="B505" s="139">
        <v>20</v>
      </c>
      <c r="C505" s="218">
        <v>44798</v>
      </c>
      <c r="D505" s="203" t="s">
        <v>468</v>
      </c>
      <c r="E505" s="178" t="s">
        <v>204</v>
      </c>
      <c r="F505" s="139"/>
      <c r="G505" s="208" t="s">
        <v>99</v>
      </c>
      <c r="H505" s="209"/>
      <c r="I505" s="210"/>
      <c r="J505" s="228">
        <v>16.86</v>
      </c>
      <c r="K505" s="240"/>
      <c r="L505" s="239">
        <f t="shared" si="76"/>
        <v>2.1918000000000002</v>
      </c>
      <c r="M505" s="161"/>
      <c r="N505" s="157"/>
      <c r="O505" s="228">
        <f t="shared" si="78"/>
        <v>19.0518</v>
      </c>
      <c r="P505" s="140"/>
    </row>
    <row r="506" spans="2:16">
      <c r="B506" s="139">
        <v>21</v>
      </c>
      <c r="C506" s="218">
        <v>44800</v>
      </c>
      <c r="D506" s="203" t="s">
        <v>469</v>
      </c>
      <c r="E506" s="284" t="s">
        <v>175</v>
      </c>
      <c r="F506" s="209"/>
      <c r="G506" s="208" t="s">
        <v>103</v>
      </c>
      <c r="H506" s="209"/>
      <c r="I506" s="210"/>
      <c r="J506" s="228">
        <v>8.44</v>
      </c>
      <c r="K506" s="240"/>
      <c r="L506" s="239">
        <f t="shared" si="76"/>
        <v>1.0972</v>
      </c>
      <c r="M506" s="161"/>
      <c r="N506" s="157"/>
      <c r="O506" s="228">
        <f>+J506+L506+M506+N506</f>
        <v>9.5371999999999986</v>
      </c>
      <c r="P506" s="140"/>
    </row>
    <row r="507" spans="2:16">
      <c r="B507" s="139">
        <v>22</v>
      </c>
      <c r="C507" s="218">
        <v>44800</v>
      </c>
      <c r="D507" s="203" t="s">
        <v>470</v>
      </c>
      <c r="E507" s="178" t="s">
        <v>246</v>
      </c>
      <c r="F507" s="139"/>
      <c r="G507" s="173" t="s">
        <v>247</v>
      </c>
      <c r="H507" s="209"/>
      <c r="I507" s="210"/>
      <c r="J507" s="227">
        <v>6.12</v>
      </c>
      <c r="K507" s="160"/>
      <c r="L507" s="229">
        <f t="shared" si="76"/>
        <v>0.79560000000000008</v>
      </c>
      <c r="M507" s="161"/>
      <c r="N507" s="157"/>
      <c r="O507" s="227">
        <f t="shared" ref="O507:O508" si="79">+J507+L507+M507</f>
        <v>6.9156000000000004</v>
      </c>
      <c r="P507" s="140"/>
    </row>
    <row r="508" spans="2:16">
      <c r="B508" s="139">
        <v>23</v>
      </c>
      <c r="C508" s="218">
        <v>44802</v>
      </c>
      <c r="D508" s="203" t="s">
        <v>471</v>
      </c>
      <c r="E508" s="178" t="s">
        <v>165</v>
      </c>
      <c r="F508" s="139"/>
      <c r="G508" s="168" t="s">
        <v>98</v>
      </c>
      <c r="H508" s="209"/>
      <c r="I508" s="210"/>
      <c r="J508" s="228">
        <v>101.21</v>
      </c>
      <c r="K508" s="240"/>
      <c r="L508" s="239">
        <f t="shared" si="76"/>
        <v>13.157299999999999</v>
      </c>
      <c r="M508" s="161">
        <v>1.01</v>
      </c>
      <c r="N508" s="157"/>
      <c r="O508" s="228">
        <f t="shared" si="79"/>
        <v>115.37730000000001</v>
      </c>
      <c r="P508" s="140"/>
    </row>
    <row r="509" spans="2:16">
      <c r="B509" s="139">
        <v>24</v>
      </c>
      <c r="C509" s="218">
        <v>44803</v>
      </c>
      <c r="D509" s="203" t="s">
        <v>472</v>
      </c>
      <c r="E509" s="178" t="s">
        <v>165</v>
      </c>
      <c r="F509" s="139"/>
      <c r="G509" s="168" t="s">
        <v>98</v>
      </c>
      <c r="H509" s="209"/>
      <c r="I509" s="210"/>
      <c r="J509" s="239">
        <v>6.28</v>
      </c>
      <c r="K509" s="240"/>
      <c r="L509" s="239">
        <f t="shared" si="76"/>
        <v>0.81640000000000001</v>
      </c>
      <c r="M509" s="242"/>
      <c r="N509" s="243"/>
      <c r="O509" s="239"/>
      <c r="P509" s="140"/>
    </row>
    <row r="510" spans="2:16">
      <c r="B510" s="139">
        <v>25</v>
      </c>
      <c r="C510" s="218">
        <v>44776</v>
      </c>
      <c r="D510" s="203" t="s">
        <v>473</v>
      </c>
      <c r="E510" s="301" t="s">
        <v>410</v>
      </c>
      <c r="F510" s="302"/>
      <c r="G510" s="303" t="s">
        <v>411</v>
      </c>
      <c r="H510" s="302"/>
      <c r="I510" s="210"/>
      <c r="J510" s="239">
        <v>0.2</v>
      </c>
      <c r="K510" s="240"/>
      <c r="L510" s="239">
        <f t="shared" si="76"/>
        <v>2.6000000000000002E-2</v>
      </c>
      <c r="M510" s="242"/>
      <c r="N510" s="243"/>
      <c r="O510" s="239"/>
      <c r="P510" s="140"/>
    </row>
    <row r="511" spans="2:16">
      <c r="B511" s="139">
        <v>26</v>
      </c>
      <c r="C511" s="218">
        <v>44778</v>
      </c>
      <c r="D511" s="203" t="s">
        <v>474</v>
      </c>
      <c r="E511" s="301" t="s">
        <v>410</v>
      </c>
      <c r="F511" s="302"/>
      <c r="G511" s="303" t="s">
        <v>411</v>
      </c>
      <c r="H511" s="302"/>
      <c r="I511" s="210"/>
      <c r="J511" s="239">
        <v>1.99</v>
      </c>
      <c r="K511" s="240"/>
      <c r="L511" s="239">
        <f t="shared" si="76"/>
        <v>0.25869999999999999</v>
      </c>
      <c r="M511" s="242"/>
      <c r="N511" s="243"/>
      <c r="O511" s="239"/>
      <c r="P511" s="140"/>
    </row>
    <row r="512" spans="2:16">
      <c r="B512" s="139">
        <v>27</v>
      </c>
      <c r="C512" s="218">
        <v>44786</v>
      </c>
      <c r="D512" s="203" t="s">
        <v>475</v>
      </c>
      <c r="E512" s="301" t="s">
        <v>410</v>
      </c>
      <c r="F512" s="302"/>
      <c r="G512" s="303" t="s">
        <v>411</v>
      </c>
      <c r="H512" s="302"/>
      <c r="I512" s="210"/>
      <c r="J512" s="239">
        <v>0.17</v>
      </c>
      <c r="K512" s="240"/>
      <c r="L512" s="239">
        <f t="shared" si="76"/>
        <v>2.2100000000000002E-2</v>
      </c>
      <c r="M512" s="242"/>
      <c r="N512" s="243"/>
      <c r="O512" s="239"/>
      <c r="P512" s="140"/>
    </row>
    <row r="513" spans="2:16">
      <c r="B513" s="139">
        <v>28</v>
      </c>
      <c r="C513" s="218">
        <v>44787</v>
      </c>
      <c r="D513" s="203" t="s">
        <v>476</v>
      </c>
      <c r="E513" s="301" t="s">
        <v>410</v>
      </c>
      <c r="F513" s="302"/>
      <c r="G513" s="303" t="s">
        <v>411</v>
      </c>
      <c r="H513" s="302"/>
      <c r="I513" s="210"/>
      <c r="J513" s="239">
        <v>0.06</v>
      </c>
      <c r="K513" s="240"/>
      <c r="L513" s="239">
        <f t="shared" si="76"/>
        <v>7.7999999999999996E-3</v>
      </c>
      <c r="M513" s="242"/>
      <c r="N513" s="243"/>
      <c r="O513" s="239"/>
      <c r="P513" s="140"/>
    </row>
    <row r="514" spans="2:16">
      <c r="B514" s="139">
        <v>29</v>
      </c>
      <c r="C514" s="218">
        <v>44795</v>
      </c>
      <c r="D514" s="203" t="s">
        <v>477</v>
      </c>
      <c r="E514" s="301" t="s">
        <v>410</v>
      </c>
      <c r="F514" s="302"/>
      <c r="G514" s="303" t="s">
        <v>411</v>
      </c>
      <c r="H514" s="302"/>
      <c r="I514" s="210"/>
      <c r="J514" s="239">
        <v>0.11</v>
      </c>
      <c r="K514" s="240"/>
      <c r="L514" s="239">
        <f t="shared" si="76"/>
        <v>1.43E-2</v>
      </c>
      <c r="M514" s="242"/>
      <c r="N514" s="243"/>
      <c r="O514" s="239"/>
      <c r="P514" s="140"/>
    </row>
    <row r="515" spans="2:16">
      <c r="B515" s="139">
        <v>30</v>
      </c>
      <c r="C515" s="218">
        <v>44797</v>
      </c>
      <c r="D515" s="203" t="s">
        <v>478</v>
      </c>
      <c r="E515" s="301" t="s">
        <v>410</v>
      </c>
      <c r="F515" s="302"/>
      <c r="G515" s="303" t="s">
        <v>411</v>
      </c>
      <c r="H515" s="302"/>
      <c r="I515" s="210"/>
      <c r="J515" s="239">
        <v>0.32</v>
      </c>
      <c r="K515" s="240"/>
      <c r="L515" s="239">
        <f t="shared" si="76"/>
        <v>4.1600000000000005E-2</v>
      </c>
      <c r="M515" s="242"/>
      <c r="N515" s="243"/>
      <c r="O515" s="239"/>
      <c r="P515" s="140"/>
    </row>
    <row r="516" spans="2:16">
      <c r="B516" s="139">
        <v>31</v>
      </c>
      <c r="C516" s="218">
        <v>44800</v>
      </c>
      <c r="D516" s="203" t="s">
        <v>479</v>
      </c>
      <c r="E516" s="301" t="s">
        <v>410</v>
      </c>
      <c r="F516" s="302"/>
      <c r="G516" s="303" t="s">
        <v>411</v>
      </c>
      <c r="H516" s="302"/>
      <c r="I516" s="210"/>
      <c r="J516" s="239">
        <v>0.28000000000000003</v>
      </c>
      <c r="K516" s="240"/>
      <c r="L516" s="239">
        <f t="shared" si="76"/>
        <v>3.6400000000000002E-2</v>
      </c>
      <c r="M516" s="242"/>
      <c r="N516" s="243"/>
      <c r="O516" s="239"/>
      <c r="P516" s="140"/>
    </row>
    <row r="517" spans="2:16">
      <c r="B517" s="139">
        <v>32</v>
      </c>
      <c r="C517" s="218">
        <v>44801</v>
      </c>
      <c r="D517" s="203" t="s">
        <v>480</v>
      </c>
      <c r="E517" s="301" t="s">
        <v>410</v>
      </c>
      <c r="F517" s="302"/>
      <c r="G517" s="303" t="s">
        <v>411</v>
      </c>
      <c r="H517" s="302"/>
      <c r="I517" s="210"/>
      <c r="J517" s="239">
        <v>0.57999999999999996</v>
      </c>
      <c r="K517" s="240"/>
      <c r="L517" s="239">
        <f t="shared" si="76"/>
        <v>7.5399999999999995E-2</v>
      </c>
      <c r="M517" s="242"/>
      <c r="N517" s="243"/>
      <c r="O517" s="239"/>
      <c r="P517" s="140"/>
    </row>
    <row r="518" spans="2:16">
      <c r="B518" s="139"/>
      <c r="C518" s="225"/>
      <c r="D518" s="177"/>
      <c r="E518" s="177"/>
      <c r="F518" s="139"/>
      <c r="G518" s="226"/>
      <c r="H518" s="139"/>
      <c r="I518" s="140"/>
      <c r="J518" s="204"/>
      <c r="K518" s="160"/>
      <c r="L518" s="204"/>
      <c r="M518" s="161"/>
      <c r="N518" s="157"/>
      <c r="O518" s="22"/>
      <c r="P518" s="140"/>
    </row>
    <row r="519" spans="2:16">
      <c r="B519" s="128"/>
      <c r="C519" s="129"/>
      <c r="D519" s="125"/>
      <c r="E519" s="125"/>
      <c r="F519" s="125"/>
      <c r="G519" s="149" t="s">
        <v>88</v>
      </c>
      <c r="H519" s="130"/>
      <c r="I519" s="130"/>
      <c r="J519" s="230">
        <f>SUM(J486:J517)</f>
        <v>1526.2869999999996</v>
      </c>
      <c r="K519" s="230"/>
      <c r="L519" s="230">
        <f>SUM(L486:L517)</f>
        <v>198.41731000000001</v>
      </c>
      <c r="M519" s="230">
        <f>SUM(M486:M517)</f>
        <v>3.38</v>
      </c>
      <c r="N519" s="230">
        <f>SUM(N486:N517)</f>
        <v>0</v>
      </c>
      <c r="O519" s="230">
        <f>SUM(O486:O517)</f>
        <v>1716.7956099999999</v>
      </c>
      <c r="P519" s="130"/>
    </row>
    <row r="520" spans="2:16">
      <c r="B520" s="310"/>
      <c r="C520" s="311"/>
      <c r="D520" s="312"/>
      <c r="E520" s="312"/>
      <c r="F520" s="312"/>
      <c r="G520" s="47"/>
      <c r="H520" s="313"/>
      <c r="I520" s="313"/>
      <c r="J520" s="314"/>
      <c r="K520" s="314"/>
      <c r="L520" s="314"/>
      <c r="M520" s="314"/>
      <c r="N520" s="314"/>
      <c r="O520" s="314"/>
      <c r="P520" s="313"/>
    </row>
    <row r="521" spans="2:16">
      <c r="B521" s="310"/>
      <c r="C521" s="311"/>
      <c r="D521" s="312"/>
      <c r="E521" s="312"/>
      <c r="F521" s="312"/>
      <c r="G521" s="47"/>
      <c r="H521" s="313"/>
      <c r="I521" s="313"/>
      <c r="J521" s="314"/>
      <c r="K521" s="314"/>
      <c r="L521" s="314"/>
      <c r="M521" s="314"/>
      <c r="N521" s="314"/>
      <c r="O521" s="314"/>
      <c r="P521" s="313"/>
    </row>
    <row r="522" spans="2:16" ht="15.6">
      <c r="B522" s="147" t="s">
        <v>11</v>
      </c>
      <c r="C522" s="147"/>
      <c r="D522" s="147"/>
      <c r="I522" s="213"/>
      <c r="J522" s="329"/>
      <c r="L522" s="329"/>
      <c r="O522" s="103"/>
      <c r="P522" s="103"/>
    </row>
    <row r="523" spans="2:16" ht="17.399999999999999">
      <c r="B523" s="90" t="s">
        <v>84</v>
      </c>
      <c r="C523" s="83"/>
      <c r="D523" s="83"/>
      <c r="I523" s="47"/>
      <c r="J523" s="206"/>
      <c r="L523" s="103"/>
    </row>
    <row r="524" spans="2:16" ht="15.6">
      <c r="B524" s="83" t="s">
        <v>12</v>
      </c>
      <c r="L524" s="103"/>
    </row>
    <row r="531" spans="2:16" ht="16.2">
      <c r="B531" s="87" t="s">
        <v>15</v>
      </c>
      <c r="C531" s="79"/>
      <c r="D531" s="148" t="s">
        <v>139</v>
      </c>
      <c r="E531" s="79"/>
      <c r="F531" s="79"/>
      <c r="G531" s="79"/>
      <c r="H531" s="115"/>
      <c r="I531" s="115"/>
      <c r="J531" s="115"/>
      <c r="K531" s="162" t="s">
        <v>80</v>
      </c>
      <c r="L531" s="115"/>
      <c r="M531" s="115"/>
      <c r="N531" s="115"/>
      <c r="O531" s="115"/>
      <c r="P531" s="79"/>
    </row>
    <row r="532" spans="2:16" ht="16.2">
      <c r="B532" s="79" t="s">
        <v>140</v>
      </c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</row>
    <row r="533" spans="2:16" ht="16.8">
      <c r="B533" s="79" t="s">
        <v>16</v>
      </c>
      <c r="C533" s="256" t="s">
        <v>482</v>
      </c>
      <c r="D533" s="88" t="s">
        <v>8</v>
      </c>
      <c r="E533" s="80">
        <v>2022</v>
      </c>
      <c r="F533" s="80"/>
      <c r="G533" s="79"/>
      <c r="H533" s="79"/>
      <c r="I533" s="79"/>
      <c r="J533" s="79"/>
      <c r="K533" s="79"/>
      <c r="L533" s="79"/>
      <c r="M533" s="79"/>
      <c r="N533" s="79"/>
      <c r="O533" s="79"/>
      <c r="P533" s="79"/>
    </row>
    <row r="534" spans="2:16">
      <c r="B534" s="131" t="s">
        <v>17</v>
      </c>
      <c r="C534" s="131" t="s">
        <v>18</v>
      </c>
      <c r="D534" s="131" t="s">
        <v>19</v>
      </c>
      <c r="E534" s="131" t="s">
        <v>19</v>
      </c>
      <c r="F534" s="132" t="s">
        <v>44</v>
      </c>
      <c r="G534" s="133"/>
      <c r="H534" s="134"/>
      <c r="I534" s="135"/>
      <c r="J534" s="134"/>
      <c r="K534" s="135"/>
      <c r="L534" s="136"/>
      <c r="M534" s="135" t="s">
        <v>85</v>
      </c>
      <c r="N534" s="137" t="s">
        <v>56</v>
      </c>
      <c r="O534" s="138" t="s">
        <v>20</v>
      </c>
      <c r="P534" s="132" t="s">
        <v>47</v>
      </c>
    </row>
    <row r="535" spans="2:16">
      <c r="B535" s="139" t="s">
        <v>21</v>
      </c>
      <c r="C535" s="139" t="s">
        <v>22</v>
      </c>
      <c r="D535" s="139" t="s">
        <v>23</v>
      </c>
      <c r="E535" s="139" t="s">
        <v>24</v>
      </c>
      <c r="F535" s="140" t="s">
        <v>45</v>
      </c>
      <c r="G535" s="81" t="s">
        <v>25</v>
      </c>
      <c r="H535" s="211" t="s">
        <v>26</v>
      </c>
      <c r="I535" s="214"/>
      <c r="J535" s="212" t="s">
        <v>27</v>
      </c>
      <c r="K535" s="215"/>
      <c r="L535" s="216"/>
      <c r="M535" s="141" t="s">
        <v>86</v>
      </c>
      <c r="N535" s="142" t="s">
        <v>57</v>
      </c>
      <c r="O535" s="143" t="s">
        <v>28</v>
      </c>
      <c r="P535" s="140" t="s">
        <v>48</v>
      </c>
    </row>
    <row r="536" spans="2:16">
      <c r="B536" s="144"/>
      <c r="C536" s="144"/>
      <c r="D536" s="144"/>
      <c r="E536" s="144"/>
      <c r="F536" s="145" t="s">
        <v>46</v>
      </c>
      <c r="G536" s="146"/>
      <c r="H536" s="144" t="s">
        <v>29</v>
      </c>
      <c r="I536" s="145" t="s">
        <v>30</v>
      </c>
      <c r="J536" s="144" t="s">
        <v>29</v>
      </c>
      <c r="K536" s="145" t="s">
        <v>30</v>
      </c>
      <c r="L536" s="145" t="s">
        <v>31</v>
      </c>
      <c r="M536" s="212" t="s">
        <v>87</v>
      </c>
      <c r="N536" s="211" t="s">
        <v>58</v>
      </c>
      <c r="O536" s="212"/>
      <c r="P536" s="140" t="s">
        <v>49</v>
      </c>
    </row>
    <row r="537" spans="2:16">
      <c r="B537" s="139">
        <v>1</v>
      </c>
      <c r="C537" s="218">
        <v>44798</v>
      </c>
      <c r="D537" s="203" t="s">
        <v>483</v>
      </c>
      <c r="E537" s="178" t="s">
        <v>192</v>
      </c>
      <c r="F537" s="139"/>
      <c r="G537" s="168" t="s">
        <v>96</v>
      </c>
      <c r="H537" s="139"/>
      <c r="I537" s="140"/>
      <c r="J537" s="227">
        <v>224.5</v>
      </c>
      <c r="K537" s="160"/>
      <c r="L537" s="229">
        <f t="shared" ref="L537:L563" si="80">J537*13%</f>
        <v>29.185000000000002</v>
      </c>
      <c r="M537" s="161"/>
      <c r="N537" s="157"/>
      <c r="O537" s="227">
        <f t="shared" ref="O537:O542" si="81">+J537+L537+M537</f>
        <v>253.685</v>
      </c>
      <c r="P537" s="140"/>
    </row>
    <row r="538" spans="2:16">
      <c r="B538" s="139">
        <v>2</v>
      </c>
      <c r="C538" s="218">
        <v>44805</v>
      </c>
      <c r="D538" s="203" t="s">
        <v>484</v>
      </c>
      <c r="E538" s="178" t="s">
        <v>324</v>
      </c>
      <c r="F538" s="139"/>
      <c r="G538" s="168" t="s">
        <v>101</v>
      </c>
      <c r="H538" s="209"/>
      <c r="I538" s="210"/>
      <c r="J538" s="227">
        <v>25.97</v>
      </c>
      <c r="K538" s="160"/>
      <c r="L538" s="229">
        <f t="shared" si="80"/>
        <v>3.3761000000000001</v>
      </c>
      <c r="M538" s="161"/>
      <c r="N538" s="157"/>
      <c r="O538" s="227">
        <f t="shared" si="81"/>
        <v>29.3461</v>
      </c>
      <c r="P538" s="140"/>
    </row>
    <row r="539" spans="2:16">
      <c r="B539" s="139">
        <v>3</v>
      </c>
      <c r="C539" s="218">
        <v>44806</v>
      </c>
      <c r="D539" s="203" t="s">
        <v>485</v>
      </c>
      <c r="E539" s="178" t="s">
        <v>220</v>
      </c>
      <c r="F539" s="139"/>
      <c r="G539" s="173" t="s">
        <v>219</v>
      </c>
      <c r="H539" s="209"/>
      <c r="I539" s="210"/>
      <c r="J539" s="227">
        <v>6.64</v>
      </c>
      <c r="K539" s="160"/>
      <c r="L539" s="229">
        <f t="shared" si="80"/>
        <v>0.86319999999999997</v>
      </c>
      <c r="M539" s="161"/>
      <c r="N539" s="157"/>
      <c r="O539" s="227">
        <f t="shared" si="81"/>
        <v>7.5031999999999996</v>
      </c>
      <c r="P539" s="140"/>
    </row>
    <row r="540" spans="2:16">
      <c r="B540" s="139">
        <v>4</v>
      </c>
      <c r="C540" s="218">
        <v>44806</v>
      </c>
      <c r="D540" s="203" t="s">
        <v>486</v>
      </c>
      <c r="E540" s="178" t="s">
        <v>246</v>
      </c>
      <c r="F540" s="139"/>
      <c r="G540" s="173" t="s">
        <v>247</v>
      </c>
      <c r="H540" s="209"/>
      <c r="I540" s="210"/>
      <c r="J540" s="227">
        <v>8.19</v>
      </c>
      <c r="K540" s="160"/>
      <c r="L540" s="229">
        <f t="shared" si="80"/>
        <v>1.0647</v>
      </c>
      <c r="M540" s="161"/>
      <c r="N540" s="157"/>
      <c r="O540" s="227">
        <f t="shared" si="81"/>
        <v>9.2546999999999997</v>
      </c>
      <c r="P540" s="140"/>
    </row>
    <row r="541" spans="2:16">
      <c r="B541" s="139">
        <v>5</v>
      </c>
      <c r="C541" s="218">
        <v>44806</v>
      </c>
      <c r="D541" s="203" t="s">
        <v>487</v>
      </c>
      <c r="E541" s="178" t="s">
        <v>234</v>
      </c>
      <c r="F541" s="139"/>
      <c r="G541" s="173" t="s">
        <v>233</v>
      </c>
      <c r="H541" s="209"/>
      <c r="I541" s="210"/>
      <c r="J541" s="227">
        <v>2.96</v>
      </c>
      <c r="K541" s="160"/>
      <c r="L541" s="229">
        <f t="shared" si="80"/>
        <v>0.38480000000000003</v>
      </c>
      <c r="M541" s="161"/>
      <c r="N541" s="157"/>
      <c r="O541" s="227">
        <f t="shared" si="81"/>
        <v>3.3448000000000002</v>
      </c>
      <c r="P541" s="140"/>
    </row>
    <row r="542" spans="2:16">
      <c r="B542" s="139">
        <v>6</v>
      </c>
      <c r="C542" s="218">
        <v>44806</v>
      </c>
      <c r="D542" s="203" t="s">
        <v>488</v>
      </c>
      <c r="E542" s="284" t="s">
        <v>200</v>
      </c>
      <c r="F542" s="209"/>
      <c r="G542" s="208" t="s">
        <v>97</v>
      </c>
      <c r="H542" s="139"/>
      <c r="I542" s="210"/>
      <c r="J542" s="228">
        <v>16.82</v>
      </c>
      <c r="K542" s="240"/>
      <c r="L542" s="239">
        <f t="shared" si="80"/>
        <v>2.1866000000000003</v>
      </c>
      <c r="M542" s="161"/>
      <c r="N542" s="157"/>
      <c r="O542" s="227">
        <f t="shared" si="81"/>
        <v>19.006599999999999</v>
      </c>
      <c r="P542" s="140"/>
    </row>
    <row r="543" spans="2:16">
      <c r="B543" s="139">
        <v>7</v>
      </c>
      <c r="C543" s="218">
        <v>44807</v>
      </c>
      <c r="D543" s="203" t="s">
        <v>489</v>
      </c>
      <c r="E543" s="284" t="s">
        <v>490</v>
      </c>
      <c r="F543" s="209"/>
      <c r="G543" s="208" t="s">
        <v>491</v>
      </c>
      <c r="H543" s="139"/>
      <c r="I543" s="210"/>
      <c r="J543" s="228">
        <v>12.66</v>
      </c>
      <c r="K543" s="240"/>
      <c r="L543" s="239">
        <f t="shared" si="80"/>
        <v>1.6458000000000002</v>
      </c>
      <c r="M543" s="161"/>
      <c r="N543" s="157"/>
      <c r="O543" s="227">
        <f>+J543+L543+M543+N543</f>
        <v>14.3058</v>
      </c>
      <c r="P543" s="140"/>
    </row>
    <row r="544" spans="2:16">
      <c r="B544" s="139">
        <v>8</v>
      </c>
      <c r="C544" s="218">
        <v>44809</v>
      </c>
      <c r="D544" s="203" t="s">
        <v>492</v>
      </c>
      <c r="E544" s="178" t="s">
        <v>197</v>
      </c>
      <c r="F544" s="139"/>
      <c r="G544" s="168" t="s">
        <v>90</v>
      </c>
      <c r="H544" s="209"/>
      <c r="I544" s="210"/>
      <c r="J544" s="227">
        <v>630</v>
      </c>
      <c r="K544" s="160"/>
      <c r="L544" s="229">
        <f t="shared" si="80"/>
        <v>81.900000000000006</v>
      </c>
      <c r="M544" s="161"/>
      <c r="N544" s="157"/>
      <c r="O544" s="227">
        <f t="shared" ref="O544:O551" si="82">+J544+L544+M544</f>
        <v>711.9</v>
      </c>
      <c r="P544" s="140"/>
    </row>
    <row r="545" spans="2:16">
      <c r="B545" s="139">
        <v>9</v>
      </c>
      <c r="C545" s="218">
        <v>44809</v>
      </c>
      <c r="D545" s="203" t="s">
        <v>493</v>
      </c>
      <c r="E545" s="178" t="s">
        <v>197</v>
      </c>
      <c r="F545" s="139"/>
      <c r="G545" s="168" t="s">
        <v>90</v>
      </c>
      <c r="H545" s="209"/>
      <c r="I545" s="210"/>
      <c r="J545" s="227">
        <v>44.97</v>
      </c>
      <c r="K545" s="160"/>
      <c r="L545" s="229">
        <f t="shared" ref="L545" si="83">J545*13%</f>
        <v>5.8460999999999999</v>
      </c>
      <c r="M545" s="161"/>
      <c r="N545" s="157"/>
      <c r="O545" s="227">
        <f t="shared" ref="O545" si="84">+J545+L545+M545</f>
        <v>50.816099999999999</v>
      </c>
      <c r="P545" s="140"/>
    </row>
    <row r="546" spans="2:16">
      <c r="B546" s="139">
        <v>10</v>
      </c>
      <c r="C546" s="218">
        <v>44809</v>
      </c>
      <c r="D546" s="203" t="s">
        <v>494</v>
      </c>
      <c r="E546" s="178" t="s">
        <v>192</v>
      </c>
      <c r="F546" s="139"/>
      <c r="G546" s="168" t="s">
        <v>96</v>
      </c>
      <c r="H546" s="139"/>
      <c r="I546" s="140"/>
      <c r="J546" s="227">
        <v>63.92</v>
      </c>
      <c r="K546" s="160"/>
      <c r="L546" s="229">
        <f t="shared" si="80"/>
        <v>8.3095999999999997</v>
      </c>
      <c r="M546" s="161"/>
      <c r="N546" s="157"/>
      <c r="O546" s="227">
        <f t="shared" si="82"/>
        <v>72.229600000000005</v>
      </c>
      <c r="P546" s="140"/>
    </row>
    <row r="547" spans="2:16">
      <c r="B547" s="139">
        <v>11</v>
      </c>
      <c r="C547" s="218">
        <v>44810</v>
      </c>
      <c r="D547" s="203" t="s">
        <v>495</v>
      </c>
      <c r="E547" s="178" t="s">
        <v>179</v>
      </c>
      <c r="F547" s="139"/>
      <c r="G547" s="173" t="s">
        <v>100</v>
      </c>
      <c r="H547" s="139"/>
      <c r="I547" s="140"/>
      <c r="J547" s="227">
        <v>88.51</v>
      </c>
      <c r="K547" s="160"/>
      <c r="L547" s="229">
        <f t="shared" si="80"/>
        <v>11.506300000000001</v>
      </c>
      <c r="M547" s="161"/>
      <c r="N547" s="157"/>
      <c r="O547" s="227">
        <f t="shared" si="82"/>
        <v>100.0163</v>
      </c>
      <c r="P547" s="140"/>
    </row>
    <row r="548" spans="2:16">
      <c r="B548" s="139">
        <v>12</v>
      </c>
      <c r="C548" s="218">
        <v>44810</v>
      </c>
      <c r="D548" s="203" t="s">
        <v>496</v>
      </c>
      <c r="E548" s="178" t="s">
        <v>165</v>
      </c>
      <c r="F548" s="139"/>
      <c r="G548" s="168" t="s">
        <v>98</v>
      </c>
      <c r="H548" s="139"/>
      <c r="I548" s="140"/>
      <c r="J548" s="227">
        <v>48.92</v>
      </c>
      <c r="K548" s="160"/>
      <c r="L548" s="229">
        <f t="shared" si="80"/>
        <v>6.3596000000000004</v>
      </c>
      <c r="M548" s="161"/>
      <c r="N548" s="157"/>
      <c r="O548" s="227">
        <f t="shared" si="82"/>
        <v>55.279600000000002</v>
      </c>
      <c r="P548" s="140"/>
    </row>
    <row r="549" spans="2:16">
      <c r="B549" s="139">
        <v>13</v>
      </c>
      <c r="C549" s="218">
        <v>44810</v>
      </c>
      <c r="D549" s="203" t="s">
        <v>497</v>
      </c>
      <c r="E549" s="178" t="s">
        <v>165</v>
      </c>
      <c r="F549" s="139"/>
      <c r="G549" s="168" t="s">
        <v>98</v>
      </c>
      <c r="H549" s="209"/>
      <c r="I549" s="140"/>
      <c r="J549" s="227">
        <v>119.25</v>
      </c>
      <c r="K549" s="160"/>
      <c r="L549" s="229">
        <f t="shared" si="80"/>
        <v>15.502500000000001</v>
      </c>
      <c r="M549" s="161">
        <v>1.19</v>
      </c>
      <c r="N549" s="157"/>
      <c r="O549" s="227">
        <f t="shared" si="82"/>
        <v>135.9425</v>
      </c>
      <c r="P549" s="140"/>
    </row>
    <row r="550" spans="2:16">
      <c r="B550" s="139">
        <v>14</v>
      </c>
      <c r="C550" s="218">
        <v>44810</v>
      </c>
      <c r="D550" s="203" t="s">
        <v>498</v>
      </c>
      <c r="E550" s="286" t="s">
        <v>176</v>
      </c>
      <c r="F550" s="209"/>
      <c r="G550" s="217" t="s">
        <v>105</v>
      </c>
      <c r="H550" s="139"/>
      <c r="I550" s="210"/>
      <c r="J550" s="228">
        <v>16.82</v>
      </c>
      <c r="K550" s="240"/>
      <c r="L550" s="239">
        <f t="shared" si="80"/>
        <v>2.1866000000000003</v>
      </c>
      <c r="M550" s="161"/>
      <c r="N550" s="157"/>
      <c r="O550" s="227">
        <f t="shared" si="82"/>
        <v>19.006599999999999</v>
      </c>
      <c r="P550" s="140"/>
    </row>
    <row r="551" spans="2:16">
      <c r="B551" s="139">
        <v>15</v>
      </c>
      <c r="C551" s="218">
        <v>44813</v>
      </c>
      <c r="D551" s="203" t="s">
        <v>499</v>
      </c>
      <c r="E551" s="178" t="s">
        <v>246</v>
      </c>
      <c r="F551" s="139"/>
      <c r="G551" s="173" t="s">
        <v>247</v>
      </c>
      <c r="H551" s="209"/>
      <c r="I551" s="210"/>
      <c r="J551" s="227">
        <v>3.27</v>
      </c>
      <c r="K551" s="160"/>
      <c r="L551" s="229">
        <f t="shared" si="80"/>
        <v>0.42510000000000003</v>
      </c>
      <c r="M551" s="161"/>
      <c r="N551" s="157"/>
      <c r="O551" s="227">
        <f t="shared" si="82"/>
        <v>3.6951000000000001</v>
      </c>
      <c r="P551" s="140"/>
    </row>
    <row r="552" spans="2:16">
      <c r="B552" s="139">
        <v>16</v>
      </c>
      <c r="C552" s="218">
        <v>44816</v>
      </c>
      <c r="D552" s="203" t="s">
        <v>500</v>
      </c>
      <c r="E552" s="284" t="s">
        <v>304</v>
      </c>
      <c r="F552" s="209"/>
      <c r="G552" s="208" t="s">
        <v>305</v>
      </c>
      <c r="H552" s="139"/>
      <c r="I552" s="140"/>
      <c r="J552" s="228">
        <v>8.4410000000000007</v>
      </c>
      <c r="K552" s="240"/>
      <c r="L552" s="239">
        <f t="shared" si="80"/>
        <v>1.0973300000000001</v>
      </c>
      <c r="M552" s="161"/>
      <c r="N552" s="157"/>
      <c r="O552" s="227">
        <f>+J552+L552+M552+N552</f>
        <v>9.5383300000000002</v>
      </c>
      <c r="P552" s="140"/>
    </row>
    <row r="553" spans="2:16">
      <c r="B553" s="139">
        <v>17</v>
      </c>
      <c r="C553" s="218">
        <v>44817</v>
      </c>
      <c r="D553" s="203" t="s">
        <v>501</v>
      </c>
      <c r="E553" s="178" t="s">
        <v>324</v>
      </c>
      <c r="F553" s="139"/>
      <c r="G553" s="168" t="s">
        <v>101</v>
      </c>
      <c r="H553" s="139"/>
      <c r="I553" s="140"/>
      <c r="J553" s="227">
        <v>12.39</v>
      </c>
      <c r="K553" s="160"/>
      <c r="L553" s="229">
        <f t="shared" si="80"/>
        <v>1.6107</v>
      </c>
      <c r="M553" s="161"/>
      <c r="N553" s="157"/>
      <c r="O553" s="227">
        <f>+J553+L553+M553+N553</f>
        <v>14.0007</v>
      </c>
      <c r="P553" s="140"/>
    </row>
    <row r="554" spans="2:16">
      <c r="B554" s="139">
        <v>18</v>
      </c>
      <c r="C554" s="218">
        <v>44817</v>
      </c>
      <c r="D554" s="203" t="s">
        <v>502</v>
      </c>
      <c r="E554" s="178" t="s">
        <v>204</v>
      </c>
      <c r="F554" s="139"/>
      <c r="G554" s="208" t="s">
        <v>99</v>
      </c>
      <c r="H554" s="139"/>
      <c r="I554" s="210"/>
      <c r="J554" s="228">
        <v>8.43</v>
      </c>
      <c r="K554" s="240"/>
      <c r="L554" s="239">
        <f t="shared" si="80"/>
        <v>1.0959000000000001</v>
      </c>
      <c r="M554" s="161"/>
      <c r="N554" s="157"/>
      <c r="O554" s="227">
        <f t="shared" ref="O554:O555" si="85">+J554+L554+M554</f>
        <v>9.5259</v>
      </c>
      <c r="P554" s="140"/>
    </row>
    <row r="555" spans="2:16">
      <c r="B555" s="139">
        <v>19</v>
      </c>
      <c r="C555" s="218">
        <v>44817</v>
      </c>
      <c r="D555" s="203" t="s">
        <v>503</v>
      </c>
      <c r="E555" s="178" t="s">
        <v>165</v>
      </c>
      <c r="F555" s="139"/>
      <c r="G555" s="168" t="s">
        <v>98</v>
      </c>
      <c r="H555" s="209"/>
      <c r="I555" s="210"/>
      <c r="J555" s="227">
        <v>35.32</v>
      </c>
      <c r="K555" s="160"/>
      <c r="L555" s="229">
        <f t="shared" si="80"/>
        <v>4.5916000000000006</v>
      </c>
      <c r="M555" s="161"/>
      <c r="N555" s="157"/>
      <c r="O555" s="227">
        <f t="shared" si="85"/>
        <v>39.9116</v>
      </c>
      <c r="P555" s="140"/>
    </row>
    <row r="556" spans="2:16">
      <c r="B556" s="139">
        <v>20</v>
      </c>
      <c r="C556" s="218">
        <v>44817</v>
      </c>
      <c r="D556" s="203" t="s">
        <v>504</v>
      </c>
      <c r="E556" s="178" t="s">
        <v>165</v>
      </c>
      <c r="F556" s="139"/>
      <c r="G556" s="168" t="s">
        <v>98</v>
      </c>
      <c r="H556" s="209"/>
      <c r="I556" s="210"/>
      <c r="J556" s="227">
        <v>51</v>
      </c>
      <c r="K556" s="160"/>
      <c r="L556" s="229">
        <f t="shared" ref="L556" si="86">J556*13%</f>
        <v>6.63</v>
      </c>
      <c r="M556" s="161"/>
      <c r="N556" s="157"/>
      <c r="O556" s="227">
        <f t="shared" ref="O556" si="87">+J556+L556+M556</f>
        <v>57.63</v>
      </c>
      <c r="P556" s="140"/>
    </row>
    <row r="557" spans="2:16">
      <c r="B557" s="139">
        <v>21</v>
      </c>
      <c r="C557" s="218">
        <v>44819</v>
      </c>
      <c r="D557" s="203" t="s">
        <v>505</v>
      </c>
      <c r="E557" s="284" t="s">
        <v>175</v>
      </c>
      <c r="F557" s="209"/>
      <c r="G557" s="208" t="s">
        <v>103</v>
      </c>
      <c r="H557" s="209"/>
      <c r="I557" s="210"/>
      <c r="J557" s="228">
        <v>16.84</v>
      </c>
      <c r="K557" s="240"/>
      <c r="L557" s="239">
        <f t="shared" si="80"/>
        <v>2.1892</v>
      </c>
      <c r="M557" s="161"/>
      <c r="N557" s="157"/>
      <c r="O557" s="228">
        <f>+J557+L557+M557+N557</f>
        <v>19.029199999999999</v>
      </c>
      <c r="P557" s="140"/>
    </row>
    <row r="558" spans="2:16">
      <c r="B558" s="139">
        <v>22</v>
      </c>
      <c r="C558" s="218">
        <v>44823</v>
      </c>
      <c r="D558" s="203" t="s">
        <v>506</v>
      </c>
      <c r="E558" s="178" t="s">
        <v>246</v>
      </c>
      <c r="F558" s="139"/>
      <c r="G558" s="173" t="s">
        <v>247</v>
      </c>
      <c r="H558" s="209"/>
      <c r="I558" s="210"/>
      <c r="J558" s="227">
        <v>18.27</v>
      </c>
      <c r="K558" s="160"/>
      <c r="L558" s="229">
        <f t="shared" si="80"/>
        <v>2.3751000000000002</v>
      </c>
      <c r="M558" s="161"/>
      <c r="N558" s="157"/>
      <c r="O558" s="227">
        <f t="shared" ref="O558:O561" si="88">+J558+L558+M558</f>
        <v>20.645099999999999</v>
      </c>
      <c r="P558" s="140"/>
    </row>
    <row r="559" spans="2:16">
      <c r="B559" s="139">
        <v>23</v>
      </c>
      <c r="C559" s="218">
        <v>44824</v>
      </c>
      <c r="D559" s="203" t="s">
        <v>507</v>
      </c>
      <c r="E559" s="284" t="s">
        <v>158</v>
      </c>
      <c r="F559" s="209"/>
      <c r="G559" s="208" t="s">
        <v>159</v>
      </c>
      <c r="H559" s="209"/>
      <c r="I559" s="210"/>
      <c r="J559" s="228">
        <v>16.87</v>
      </c>
      <c r="K559" s="240"/>
      <c r="L559" s="239">
        <f t="shared" si="80"/>
        <v>2.1931000000000003</v>
      </c>
      <c r="M559" s="161"/>
      <c r="N559" s="157"/>
      <c r="O559" s="228">
        <f t="shared" si="88"/>
        <v>19.063100000000002</v>
      </c>
      <c r="P559" s="140"/>
    </row>
    <row r="560" spans="2:16">
      <c r="B560" s="139">
        <v>24</v>
      </c>
      <c r="C560" s="218">
        <v>44824</v>
      </c>
      <c r="D560" s="203" t="s">
        <v>508</v>
      </c>
      <c r="E560" s="178" t="s">
        <v>192</v>
      </c>
      <c r="F560" s="139"/>
      <c r="G560" s="173" t="s">
        <v>96</v>
      </c>
      <c r="H560" s="209"/>
      <c r="I560" s="210"/>
      <c r="J560" s="227">
        <v>41.12</v>
      </c>
      <c r="K560" s="160"/>
      <c r="L560" s="229">
        <f t="shared" si="80"/>
        <v>5.3456000000000001</v>
      </c>
      <c r="M560" s="161"/>
      <c r="N560" s="157"/>
      <c r="O560" s="227">
        <f t="shared" si="88"/>
        <v>46.465599999999995</v>
      </c>
      <c r="P560" s="140"/>
    </row>
    <row r="561" spans="2:16">
      <c r="B561" s="139">
        <v>25</v>
      </c>
      <c r="C561" s="218">
        <v>44824</v>
      </c>
      <c r="D561" s="203" t="s">
        <v>509</v>
      </c>
      <c r="E561" s="178" t="s">
        <v>165</v>
      </c>
      <c r="F561" s="139"/>
      <c r="G561" s="168" t="s">
        <v>98</v>
      </c>
      <c r="H561" s="302"/>
      <c r="I561" s="210"/>
      <c r="J561" s="227">
        <v>129.81</v>
      </c>
      <c r="K561" s="160"/>
      <c r="L561" s="229">
        <f t="shared" si="80"/>
        <v>16.875299999999999</v>
      </c>
      <c r="M561" s="161">
        <v>1.3</v>
      </c>
      <c r="N561" s="157"/>
      <c r="O561" s="227">
        <f t="shared" si="88"/>
        <v>147.98530000000002</v>
      </c>
      <c r="P561" s="140"/>
    </row>
    <row r="562" spans="2:16">
      <c r="B562" s="139">
        <v>26</v>
      </c>
      <c r="C562" s="218">
        <v>44825</v>
      </c>
      <c r="D562" s="203" t="s">
        <v>510</v>
      </c>
      <c r="E562" s="178" t="s">
        <v>165</v>
      </c>
      <c r="F562" s="139"/>
      <c r="G562" s="168" t="s">
        <v>98</v>
      </c>
      <c r="H562" s="302"/>
      <c r="I562" s="210"/>
      <c r="J562" s="227">
        <v>13.45</v>
      </c>
      <c r="K562" s="160"/>
      <c r="L562" s="229">
        <f t="shared" ref="L562" si="89">J562*13%</f>
        <v>1.7484999999999999</v>
      </c>
      <c r="M562" s="161"/>
      <c r="N562" s="157"/>
      <c r="O562" s="227">
        <f t="shared" ref="O562" si="90">+J562+L562+M562</f>
        <v>15.198499999999999</v>
      </c>
      <c r="P562" s="140"/>
    </row>
    <row r="563" spans="2:16">
      <c r="B563" s="139">
        <v>27</v>
      </c>
      <c r="C563" s="218">
        <v>44826</v>
      </c>
      <c r="D563" s="203" t="s">
        <v>511</v>
      </c>
      <c r="E563" s="178" t="s">
        <v>259</v>
      </c>
      <c r="F563" s="139"/>
      <c r="G563" s="173" t="s">
        <v>260</v>
      </c>
      <c r="H563" s="302"/>
      <c r="I563" s="210"/>
      <c r="J563" s="227">
        <v>1.33</v>
      </c>
      <c r="K563" s="160"/>
      <c r="L563" s="229">
        <f t="shared" si="80"/>
        <v>0.17290000000000003</v>
      </c>
      <c r="M563" s="161"/>
      <c r="N563" s="157"/>
      <c r="O563" s="227"/>
      <c r="P563" s="140"/>
    </row>
    <row r="564" spans="2:16">
      <c r="B564" s="139">
        <v>28</v>
      </c>
      <c r="C564" s="218">
        <v>44826</v>
      </c>
      <c r="D564" s="203" t="s">
        <v>512</v>
      </c>
      <c r="E564" s="284" t="s">
        <v>175</v>
      </c>
      <c r="F564" s="209"/>
      <c r="G564" s="208" t="s">
        <v>103</v>
      </c>
      <c r="H564" s="209"/>
      <c r="I564" s="210"/>
      <c r="J564" s="228">
        <v>8.42</v>
      </c>
      <c r="K564" s="240"/>
      <c r="L564" s="239">
        <f t="shared" ref="L564" si="91">J564*13%</f>
        <v>1.0946</v>
      </c>
      <c r="M564" s="161"/>
      <c r="N564" s="157"/>
      <c r="O564" s="228">
        <f>+J564+L564+M564+N564</f>
        <v>9.5145999999999997</v>
      </c>
      <c r="P564" s="140"/>
    </row>
    <row r="565" spans="2:16">
      <c r="B565" s="139">
        <v>29</v>
      </c>
      <c r="C565" s="218">
        <v>44826</v>
      </c>
      <c r="D565" s="203" t="s">
        <v>513</v>
      </c>
      <c r="E565" s="284" t="s">
        <v>175</v>
      </c>
      <c r="F565" s="209"/>
      <c r="G565" s="208" t="s">
        <v>103</v>
      </c>
      <c r="H565" s="209"/>
      <c r="I565" s="210"/>
      <c r="J565" s="228">
        <v>8.42</v>
      </c>
      <c r="K565" s="240"/>
      <c r="L565" s="239">
        <f t="shared" ref="L565:L566" si="92">J565*13%</f>
        <v>1.0946</v>
      </c>
      <c r="M565" s="161"/>
      <c r="N565" s="157"/>
      <c r="O565" s="228">
        <f>+J565+L565+M565+N565</f>
        <v>9.5145999999999997</v>
      </c>
      <c r="P565" s="140"/>
    </row>
    <row r="566" spans="2:16">
      <c r="B566" s="139">
        <v>30</v>
      </c>
      <c r="C566" s="218">
        <v>44830</v>
      </c>
      <c r="D566" s="203" t="s">
        <v>514</v>
      </c>
      <c r="E566" s="178" t="s">
        <v>179</v>
      </c>
      <c r="F566" s="139"/>
      <c r="G566" s="173" t="s">
        <v>100</v>
      </c>
      <c r="H566" s="139"/>
      <c r="I566" s="140"/>
      <c r="J566" s="227">
        <v>36.56</v>
      </c>
      <c r="K566" s="160"/>
      <c r="L566" s="229">
        <f t="shared" si="92"/>
        <v>4.7528000000000006</v>
      </c>
      <c r="M566" s="161"/>
      <c r="N566" s="157"/>
      <c r="O566" s="227">
        <f t="shared" ref="O566" si="93">+J566+L566+M566</f>
        <v>41.312800000000003</v>
      </c>
      <c r="P566" s="140"/>
    </row>
    <row r="567" spans="2:16">
      <c r="B567" s="139">
        <v>31</v>
      </c>
      <c r="C567" s="218">
        <v>44831</v>
      </c>
      <c r="D567" s="203" t="s">
        <v>515</v>
      </c>
      <c r="E567" s="284" t="s">
        <v>175</v>
      </c>
      <c r="F567" s="209"/>
      <c r="G567" s="208" t="s">
        <v>103</v>
      </c>
      <c r="H567" s="209"/>
      <c r="I567" s="210"/>
      <c r="J567" s="228">
        <v>8.42</v>
      </c>
      <c r="K567" s="240"/>
      <c r="L567" s="239">
        <f t="shared" ref="L567:L568" si="94">J567*13%</f>
        <v>1.0946</v>
      </c>
      <c r="M567" s="161"/>
      <c r="N567" s="157"/>
      <c r="O567" s="228">
        <f>+J567+L567+M567+N567</f>
        <v>9.5145999999999997</v>
      </c>
      <c r="P567" s="140"/>
    </row>
    <row r="568" spans="2:16">
      <c r="B568" s="139">
        <v>32</v>
      </c>
      <c r="C568" s="218">
        <v>44831</v>
      </c>
      <c r="D568" s="203" t="s">
        <v>516</v>
      </c>
      <c r="E568" s="178" t="s">
        <v>165</v>
      </c>
      <c r="F568" s="139"/>
      <c r="G568" s="168" t="s">
        <v>98</v>
      </c>
      <c r="H568" s="302"/>
      <c r="I568" s="210"/>
      <c r="J568" s="227">
        <v>119.13</v>
      </c>
      <c r="K568" s="160"/>
      <c r="L568" s="229">
        <f t="shared" si="94"/>
        <v>15.4869</v>
      </c>
      <c r="M568" s="161">
        <v>1.19</v>
      </c>
      <c r="N568" s="157"/>
      <c r="O568" s="227">
        <f t="shared" ref="O568" si="95">+J568+L568+M568</f>
        <v>135.80689999999998</v>
      </c>
      <c r="P568" s="140"/>
    </row>
    <row r="569" spans="2:16">
      <c r="B569" s="139"/>
      <c r="C569" s="218">
        <v>44831</v>
      </c>
      <c r="D569" s="203" t="s">
        <v>517</v>
      </c>
      <c r="E569" s="178" t="s">
        <v>165</v>
      </c>
      <c r="F569" s="139"/>
      <c r="G569" s="168" t="s">
        <v>98</v>
      </c>
      <c r="H569" s="302"/>
      <c r="I569" s="210"/>
      <c r="J569" s="227">
        <v>30.68</v>
      </c>
      <c r="K569" s="160"/>
      <c r="L569" s="229">
        <f t="shared" ref="L569:L580" si="96">J569*13%</f>
        <v>3.9883999999999999</v>
      </c>
      <c r="M569" s="161"/>
      <c r="N569" s="157"/>
      <c r="O569" s="227">
        <f t="shared" ref="O569:O580" si="97">+J569+L569+M569</f>
        <v>34.668399999999998</v>
      </c>
      <c r="P569" s="140"/>
    </row>
    <row r="570" spans="2:16">
      <c r="B570" s="139"/>
      <c r="C570" s="218">
        <v>44831</v>
      </c>
      <c r="D570" s="203" t="s">
        <v>518</v>
      </c>
      <c r="E570" s="178" t="s">
        <v>179</v>
      </c>
      <c r="F570" s="139"/>
      <c r="G570" s="173" t="s">
        <v>100</v>
      </c>
      <c r="H570" s="139"/>
      <c r="I570" s="140"/>
      <c r="J570" s="227">
        <v>91.18</v>
      </c>
      <c r="K570" s="160"/>
      <c r="L570" s="229">
        <f t="shared" si="96"/>
        <v>11.853400000000001</v>
      </c>
      <c r="M570" s="161"/>
      <c r="N570" s="157"/>
      <c r="O570" s="227">
        <f t="shared" si="97"/>
        <v>103.0334</v>
      </c>
      <c r="P570" s="140"/>
    </row>
    <row r="571" spans="2:16">
      <c r="B571" s="139"/>
      <c r="C571" s="218">
        <v>44833</v>
      </c>
      <c r="D571" s="203" t="s">
        <v>519</v>
      </c>
      <c r="E571" s="175" t="s">
        <v>151</v>
      </c>
      <c r="F571" s="139"/>
      <c r="G571" s="208" t="s">
        <v>99</v>
      </c>
      <c r="H571" s="302"/>
      <c r="I571" s="210"/>
      <c r="J571" s="229">
        <v>16.420000000000002</v>
      </c>
      <c r="K571" s="160"/>
      <c r="L571" s="229">
        <f t="shared" si="96"/>
        <v>2.1346000000000003</v>
      </c>
      <c r="M571" s="161"/>
      <c r="N571" s="157"/>
      <c r="O571" s="229">
        <f t="shared" si="97"/>
        <v>18.554600000000001</v>
      </c>
      <c r="P571" s="140"/>
    </row>
    <row r="572" spans="2:16">
      <c r="B572" s="139"/>
      <c r="C572" s="218">
        <v>44834</v>
      </c>
      <c r="D572" s="203" t="s">
        <v>520</v>
      </c>
      <c r="E572" s="178" t="s">
        <v>341</v>
      </c>
      <c r="F572" s="139"/>
      <c r="G572" s="168" t="s">
        <v>342</v>
      </c>
      <c r="H572" s="209"/>
      <c r="I572" s="210"/>
      <c r="J572" s="229">
        <v>24.33</v>
      </c>
      <c r="K572" s="160"/>
      <c r="L572" s="229">
        <f t="shared" si="96"/>
        <v>3.1629</v>
      </c>
      <c r="M572" s="161"/>
      <c r="N572" s="157"/>
      <c r="O572" s="229">
        <f t="shared" si="97"/>
        <v>27.492899999999999</v>
      </c>
      <c r="P572" s="140"/>
    </row>
    <row r="573" spans="2:16">
      <c r="B573" s="139"/>
      <c r="C573" s="218">
        <v>44834</v>
      </c>
      <c r="D573" s="203" t="s">
        <v>521</v>
      </c>
      <c r="E573" s="178" t="s">
        <v>341</v>
      </c>
      <c r="F573" s="139"/>
      <c r="G573" s="168" t="s">
        <v>342</v>
      </c>
      <c r="H573" s="209"/>
      <c r="I573" s="210"/>
      <c r="J573" s="229">
        <v>36.72</v>
      </c>
      <c r="K573" s="160"/>
      <c r="L573" s="229">
        <f t="shared" si="96"/>
        <v>4.7736000000000001</v>
      </c>
      <c r="M573" s="161"/>
      <c r="N573" s="157"/>
      <c r="O573" s="229">
        <f t="shared" si="97"/>
        <v>41.493600000000001</v>
      </c>
      <c r="P573" s="140"/>
    </row>
    <row r="574" spans="2:16">
      <c r="B574" s="139"/>
      <c r="C574" s="218">
        <v>44834</v>
      </c>
      <c r="D574" s="203" t="s">
        <v>522</v>
      </c>
      <c r="E574" s="178" t="s">
        <v>341</v>
      </c>
      <c r="F574" s="139"/>
      <c r="G574" s="168" t="s">
        <v>342</v>
      </c>
      <c r="H574" s="209"/>
      <c r="I574" s="210"/>
      <c r="J574" s="229">
        <v>13.25</v>
      </c>
      <c r="K574" s="160"/>
      <c r="L574" s="229">
        <f t="shared" si="96"/>
        <v>1.7225000000000001</v>
      </c>
      <c r="M574" s="161"/>
      <c r="N574" s="157"/>
      <c r="O574" s="229">
        <f t="shared" si="97"/>
        <v>14.9725</v>
      </c>
      <c r="P574" s="140"/>
    </row>
    <row r="575" spans="2:16">
      <c r="B575" s="139"/>
      <c r="C575" s="218">
        <v>44834</v>
      </c>
      <c r="D575" s="203" t="s">
        <v>523</v>
      </c>
      <c r="E575" s="231" t="s">
        <v>168</v>
      </c>
      <c r="F575" s="139"/>
      <c r="G575" s="169" t="s">
        <v>92</v>
      </c>
      <c r="H575" s="139"/>
      <c r="I575" s="210"/>
      <c r="J575" s="229">
        <v>36.369999999999997</v>
      </c>
      <c r="K575" s="160"/>
      <c r="L575" s="229">
        <f t="shared" si="96"/>
        <v>4.7280999999999995</v>
      </c>
      <c r="M575" s="161"/>
      <c r="N575" s="157"/>
      <c r="O575" s="229">
        <f t="shared" si="97"/>
        <v>41.098099999999995</v>
      </c>
      <c r="P575" s="140"/>
    </row>
    <row r="576" spans="2:16">
      <c r="B576" s="139"/>
      <c r="C576" s="218">
        <v>44834</v>
      </c>
      <c r="D576" s="203" t="s">
        <v>524</v>
      </c>
      <c r="E576" s="301" t="s">
        <v>656</v>
      </c>
      <c r="F576" s="302"/>
      <c r="G576" s="303" t="s">
        <v>411</v>
      </c>
      <c r="H576" s="302"/>
      <c r="I576" s="210"/>
      <c r="J576" s="229">
        <v>0.35</v>
      </c>
      <c r="K576" s="160"/>
      <c r="L576" s="229">
        <f t="shared" si="96"/>
        <v>4.5499999999999999E-2</v>
      </c>
      <c r="M576" s="161"/>
      <c r="N576" s="157"/>
      <c r="O576" s="229">
        <f t="shared" si="97"/>
        <v>0.39549999999999996</v>
      </c>
      <c r="P576" s="140"/>
    </row>
    <row r="577" spans="2:16">
      <c r="B577" s="139"/>
      <c r="C577" s="218">
        <v>44834</v>
      </c>
      <c r="D577" s="203" t="s">
        <v>525</v>
      </c>
      <c r="E577" s="301" t="s">
        <v>656</v>
      </c>
      <c r="F577" s="302"/>
      <c r="G577" s="303" t="s">
        <v>411</v>
      </c>
      <c r="H577" s="139"/>
      <c r="I577" s="210"/>
      <c r="J577" s="229">
        <v>0.31</v>
      </c>
      <c r="K577" s="160"/>
      <c r="L577" s="229">
        <f t="shared" si="96"/>
        <v>4.0300000000000002E-2</v>
      </c>
      <c r="M577" s="161"/>
      <c r="N577" s="157"/>
      <c r="O577" s="229">
        <f t="shared" si="97"/>
        <v>0.3503</v>
      </c>
      <c r="P577" s="140"/>
    </row>
    <row r="578" spans="2:16">
      <c r="B578" s="139"/>
      <c r="C578" s="218">
        <v>44834</v>
      </c>
      <c r="D578" s="203" t="s">
        <v>526</v>
      </c>
      <c r="E578" s="301" t="s">
        <v>656</v>
      </c>
      <c r="F578" s="302"/>
      <c r="G578" s="303" t="s">
        <v>411</v>
      </c>
      <c r="H578" s="139"/>
      <c r="I578" s="210"/>
      <c r="J578" s="229">
        <v>0.05</v>
      </c>
      <c r="K578" s="160"/>
      <c r="L578" s="229">
        <f t="shared" si="96"/>
        <v>6.5000000000000006E-3</v>
      </c>
      <c r="M578" s="161"/>
      <c r="N578" s="157"/>
      <c r="O578" s="229">
        <f t="shared" si="97"/>
        <v>5.6500000000000002E-2</v>
      </c>
      <c r="P578" s="140"/>
    </row>
    <row r="579" spans="2:16">
      <c r="B579" s="139"/>
      <c r="C579" s="218">
        <v>44834</v>
      </c>
      <c r="D579" s="203" t="s">
        <v>527</v>
      </c>
      <c r="E579" s="301" t="s">
        <v>656</v>
      </c>
      <c r="F579" s="302"/>
      <c r="G579" s="303" t="s">
        <v>411</v>
      </c>
      <c r="H579" s="139"/>
      <c r="I579" s="210"/>
      <c r="J579" s="229">
        <v>0.11</v>
      </c>
      <c r="K579" s="160"/>
      <c r="L579" s="229">
        <f t="shared" si="96"/>
        <v>1.43E-2</v>
      </c>
      <c r="M579" s="161"/>
      <c r="N579" s="157"/>
      <c r="O579" s="229">
        <f t="shared" si="97"/>
        <v>0.12429999999999999</v>
      </c>
      <c r="P579" s="140"/>
    </row>
    <row r="580" spans="2:16">
      <c r="B580" s="139"/>
      <c r="C580" s="297"/>
      <c r="D580" s="203" t="s">
        <v>528</v>
      </c>
      <c r="E580" s="301" t="s">
        <v>656</v>
      </c>
      <c r="F580" s="302"/>
      <c r="G580" s="303" t="s">
        <v>411</v>
      </c>
      <c r="H580" s="139"/>
      <c r="I580" s="210"/>
      <c r="J580" s="229">
        <v>15</v>
      </c>
      <c r="K580" s="160"/>
      <c r="L580" s="229">
        <f t="shared" si="96"/>
        <v>1.9500000000000002</v>
      </c>
      <c r="M580" s="161"/>
      <c r="N580" s="157"/>
      <c r="O580" s="229">
        <f t="shared" si="97"/>
        <v>16.95</v>
      </c>
      <c r="P580" s="140"/>
    </row>
    <row r="581" spans="2:16">
      <c r="B581" s="139"/>
      <c r="C581" s="297"/>
      <c r="D581" s="203"/>
      <c r="E581" s="231"/>
      <c r="F581" s="139"/>
      <c r="G581" s="351"/>
      <c r="H581" s="139"/>
      <c r="I581" s="210"/>
      <c r="J581" s="229"/>
      <c r="K581" s="160"/>
      <c r="L581" s="229"/>
      <c r="M581" s="161"/>
      <c r="N581" s="157"/>
      <c r="O581" s="229"/>
      <c r="P581" s="140"/>
    </row>
    <row r="582" spans="2:16">
      <c r="B582" s="139"/>
      <c r="C582" s="297"/>
      <c r="D582" s="203"/>
      <c r="E582" s="231"/>
      <c r="F582" s="139"/>
      <c r="G582" s="351"/>
      <c r="H582" s="139"/>
      <c r="I582" s="210"/>
      <c r="J582" s="229"/>
      <c r="K582" s="160"/>
      <c r="L582" s="229"/>
      <c r="M582" s="161"/>
      <c r="N582" s="157"/>
      <c r="O582" s="229"/>
      <c r="P582" s="140"/>
    </row>
    <row r="583" spans="2:16">
      <c r="B583" s="139"/>
      <c r="C583" s="297"/>
      <c r="D583" s="203"/>
      <c r="E583" s="231"/>
      <c r="F583" s="139"/>
      <c r="G583" s="351"/>
      <c r="H583" s="139"/>
      <c r="I583" s="210"/>
      <c r="J583" s="229"/>
      <c r="K583" s="160"/>
      <c r="L583" s="229"/>
      <c r="M583" s="161"/>
      <c r="N583" s="157"/>
      <c r="O583" s="229"/>
      <c r="P583" s="140"/>
    </row>
    <row r="584" spans="2:16">
      <c r="B584" s="139"/>
      <c r="C584" s="297"/>
      <c r="D584" s="203"/>
      <c r="E584" s="231"/>
      <c r="F584" s="139"/>
      <c r="G584" s="351"/>
      <c r="H584" s="139"/>
      <c r="I584" s="210"/>
      <c r="J584" s="229"/>
      <c r="K584" s="160"/>
      <c r="L584" s="229"/>
      <c r="M584" s="161"/>
      <c r="N584" s="157"/>
      <c r="O584" s="229"/>
      <c r="P584" s="140"/>
    </row>
    <row r="585" spans="2:16">
      <c r="B585" s="139"/>
      <c r="C585" s="297"/>
      <c r="D585" s="203"/>
      <c r="E585" s="178"/>
      <c r="F585" s="139"/>
      <c r="G585" s="226"/>
      <c r="H585" s="209"/>
      <c r="I585" s="210"/>
      <c r="J585" s="229"/>
      <c r="K585" s="160"/>
      <c r="L585" s="229"/>
      <c r="M585" s="161"/>
      <c r="N585" s="157"/>
      <c r="O585" s="229"/>
      <c r="P585" s="140"/>
    </row>
    <row r="586" spans="2:16">
      <c r="B586" s="139"/>
      <c r="C586" s="225"/>
      <c r="D586" s="177"/>
      <c r="E586" s="177"/>
      <c r="F586" s="139"/>
      <c r="G586" s="226"/>
      <c r="H586" s="139"/>
      <c r="I586" s="140"/>
      <c r="J586" s="204"/>
      <c r="K586" s="160"/>
      <c r="L586" s="204"/>
      <c r="M586" s="161"/>
      <c r="N586" s="157"/>
      <c r="O586" s="22"/>
      <c r="P586" s="140"/>
    </row>
    <row r="587" spans="2:16">
      <c r="B587" s="128"/>
      <c r="C587" s="129"/>
      <c r="D587" s="125"/>
      <c r="E587" s="125"/>
      <c r="F587" s="125"/>
      <c r="G587" s="149" t="s">
        <v>88</v>
      </c>
      <c r="H587" s="130"/>
      <c r="I587" s="130"/>
      <c r="J587" s="230">
        <f>SUM(J537:J580)</f>
        <v>2112.3910000000001</v>
      </c>
      <c r="K587" s="230"/>
      <c r="L587" s="230">
        <f>SUM(L537:L580)</f>
        <v>274.61083000000002</v>
      </c>
      <c r="M587" s="230">
        <f>SUM(M537:M575)</f>
        <v>3.68</v>
      </c>
      <c r="N587" s="230">
        <f>SUM(N537:N575)</f>
        <v>0</v>
      </c>
      <c r="O587" s="230">
        <f>SUM(O537:O580)</f>
        <v>2389.17893</v>
      </c>
      <c r="P587" s="130"/>
    </row>
    <row r="588" spans="2:16">
      <c r="B588" s="310"/>
      <c r="C588" s="311"/>
      <c r="D588" s="312"/>
      <c r="E588" s="312"/>
      <c r="F588" s="312"/>
      <c r="G588" s="47"/>
      <c r="H588" s="313"/>
      <c r="I588" s="313"/>
      <c r="J588" s="314"/>
      <c r="K588" s="314"/>
      <c r="L588" s="314"/>
      <c r="M588" s="314"/>
      <c r="N588" s="314"/>
      <c r="O588" s="314"/>
      <c r="P588" s="313"/>
    </row>
    <row r="589" spans="2:16">
      <c r="B589" s="310"/>
      <c r="C589" s="311"/>
      <c r="D589" s="312"/>
      <c r="E589" s="312"/>
      <c r="F589" s="312"/>
      <c r="G589" s="47"/>
      <c r="H589" s="313"/>
      <c r="I589" s="313"/>
      <c r="J589" s="314"/>
      <c r="K589" s="314"/>
      <c r="L589" s="314"/>
      <c r="M589" s="314"/>
      <c r="N589" s="314"/>
      <c r="O589" s="314"/>
      <c r="P589" s="313"/>
    </row>
    <row r="590" spans="2:16" ht="15.6">
      <c r="B590" s="147" t="s">
        <v>11</v>
      </c>
      <c r="C590" s="147"/>
      <c r="D590" s="147"/>
      <c r="I590" s="213"/>
      <c r="J590" s="329"/>
      <c r="L590" s="329"/>
      <c r="O590" s="103"/>
      <c r="P590" s="103"/>
    </row>
    <row r="591" spans="2:16" ht="17.399999999999999">
      <c r="B591" s="90" t="s">
        <v>84</v>
      </c>
      <c r="C591" s="83"/>
      <c r="D591" s="83"/>
      <c r="I591" s="47"/>
      <c r="J591" s="206"/>
      <c r="L591" s="103"/>
    </row>
    <row r="592" spans="2:16" ht="15.6">
      <c r="B592" s="83" t="s">
        <v>12</v>
      </c>
      <c r="L592" s="103"/>
    </row>
    <row r="601" spans="2:16" ht="16.2">
      <c r="B601" s="87" t="s">
        <v>15</v>
      </c>
      <c r="C601" s="79"/>
      <c r="D601" s="148" t="s">
        <v>139</v>
      </c>
      <c r="E601" s="79"/>
      <c r="F601" s="79"/>
      <c r="G601" s="79"/>
      <c r="H601" s="115"/>
      <c r="I601" s="115"/>
      <c r="J601" s="115"/>
      <c r="K601" s="162" t="s">
        <v>80</v>
      </c>
      <c r="L601" s="115"/>
      <c r="M601" s="115"/>
      <c r="N601" s="115"/>
      <c r="O601" s="115"/>
      <c r="P601" s="79"/>
    </row>
    <row r="602" spans="2:16" ht="16.2">
      <c r="B602" s="79" t="s">
        <v>140</v>
      </c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</row>
    <row r="603" spans="2:16" ht="16.8">
      <c r="B603" s="79" t="s">
        <v>16</v>
      </c>
      <c r="C603" s="256" t="s">
        <v>529</v>
      </c>
      <c r="D603" s="88" t="s">
        <v>8</v>
      </c>
      <c r="E603" s="80">
        <v>2022</v>
      </c>
      <c r="F603" s="80"/>
      <c r="G603" s="79"/>
      <c r="H603" s="79"/>
      <c r="I603" s="79"/>
      <c r="J603" s="79"/>
      <c r="K603" s="79"/>
      <c r="L603" s="79"/>
      <c r="M603" s="79"/>
      <c r="N603" s="79"/>
      <c r="O603" s="79"/>
      <c r="P603" s="79"/>
    </row>
    <row r="604" spans="2:16">
      <c r="B604" s="131" t="s">
        <v>17</v>
      </c>
      <c r="C604" s="131" t="s">
        <v>18</v>
      </c>
      <c r="D604" s="131" t="s">
        <v>19</v>
      </c>
      <c r="E604" s="131" t="s">
        <v>19</v>
      </c>
      <c r="F604" s="132" t="s">
        <v>44</v>
      </c>
      <c r="G604" s="133"/>
      <c r="H604" s="134"/>
      <c r="I604" s="135"/>
      <c r="J604" s="134"/>
      <c r="K604" s="135"/>
      <c r="L604" s="136"/>
      <c r="M604" s="135" t="s">
        <v>85</v>
      </c>
      <c r="N604" s="137" t="s">
        <v>56</v>
      </c>
      <c r="O604" s="138" t="s">
        <v>20</v>
      </c>
      <c r="P604" s="132" t="s">
        <v>47</v>
      </c>
    </row>
    <row r="605" spans="2:16">
      <c r="B605" s="139" t="s">
        <v>21</v>
      </c>
      <c r="C605" s="139" t="s">
        <v>22</v>
      </c>
      <c r="D605" s="139" t="s">
        <v>23</v>
      </c>
      <c r="E605" s="139" t="s">
        <v>24</v>
      </c>
      <c r="F605" s="140" t="s">
        <v>45</v>
      </c>
      <c r="G605" s="81" t="s">
        <v>25</v>
      </c>
      <c r="H605" s="211" t="s">
        <v>26</v>
      </c>
      <c r="I605" s="214"/>
      <c r="J605" s="212" t="s">
        <v>27</v>
      </c>
      <c r="K605" s="215"/>
      <c r="L605" s="216"/>
      <c r="M605" s="141" t="s">
        <v>86</v>
      </c>
      <c r="N605" s="142" t="s">
        <v>57</v>
      </c>
      <c r="O605" s="143" t="s">
        <v>28</v>
      </c>
      <c r="P605" s="140" t="s">
        <v>48</v>
      </c>
    </row>
    <row r="606" spans="2:16">
      <c r="B606" s="144"/>
      <c r="C606" s="144"/>
      <c r="D606" s="144"/>
      <c r="E606" s="144"/>
      <c r="F606" s="145" t="s">
        <v>46</v>
      </c>
      <c r="G606" s="146"/>
      <c r="H606" s="144" t="s">
        <v>29</v>
      </c>
      <c r="I606" s="145" t="s">
        <v>30</v>
      </c>
      <c r="J606" s="144" t="s">
        <v>29</v>
      </c>
      <c r="K606" s="145" t="s">
        <v>30</v>
      </c>
      <c r="L606" s="145" t="s">
        <v>31</v>
      </c>
      <c r="M606" s="212" t="s">
        <v>87</v>
      </c>
      <c r="N606" s="211" t="s">
        <v>58</v>
      </c>
      <c r="O606" s="212"/>
      <c r="P606" s="140" t="s">
        <v>49</v>
      </c>
    </row>
    <row r="607" spans="2:16">
      <c r="B607" s="139">
        <v>1</v>
      </c>
      <c r="C607" s="218">
        <v>44836</v>
      </c>
      <c r="D607" s="203" t="s">
        <v>530</v>
      </c>
      <c r="E607" s="284" t="s">
        <v>175</v>
      </c>
      <c r="F607" s="209"/>
      <c r="G607" s="208" t="s">
        <v>103</v>
      </c>
      <c r="H607" s="139"/>
      <c r="I607" s="140"/>
      <c r="J607" s="227">
        <v>20.57</v>
      </c>
      <c r="K607" s="160"/>
      <c r="L607" s="229">
        <f t="shared" ref="L607:L631" si="98">J607*13%</f>
        <v>2.6741000000000001</v>
      </c>
      <c r="M607" s="161"/>
      <c r="N607" s="157"/>
      <c r="O607" s="227">
        <f t="shared" ref="O607:O612" si="99">+J607+L607+M607</f>
        <v>23.2441</v>
      </c>
      <c r="P607" s="140"/>
    </row>
    <row r="608" spans="2:16">
      <c r="B608" s="139">
        <v>2</v>
      </c>
      <c r="C608" s="218">
        <v>44838</v>
      </c>
      <c r="D608" s="203" t="s">
        <v>531</v>
      </c>
      <c r="E608" s="178" t="s">
        <v>165</v>
      </c>
      <c r="F608" s="139"/>
      <c r="G608" s="168" t="s">
        <v>98</v>
      </c>
      <c r="H608" s="209"/>
      <c r="I608" s="210"/>
      <c r="J608" s="227">
        <v>76.78</v>
      </c>
      <c r="K608" s="160"/>
      <c r="L608" s="229">
        <f t="shared" si="98"/>
        <v>9.9814000000000007</v>
      </c>
      <c r="M608" s="161"/>
      <c r="N608" s="157"/>
      <c r="O608" s="227">
        <f t="shared" si="99"/>
        <v>86.761400000000009</v>
      </c>
      <c r="P608" s="140"/>
    </row>
    <row r="609" spans="2:16">
      <c r="B609" s="139">
        <v>3</v>
      </c>
      <c r="C609" s="218">
        <v>44838</v>
      </c>
      <c r="D609" s="203" t="s">
        <v>532</v>
      </c>
      <c r="E609" s="178" t="s">
        <v>165</v>
      </c>
      <c r="F609" s="139"/>
      <c r="G609" s="168" t="s">
        <v>98</v>
      </c>
      <c r="H609" s="209"/>
      <c r="I609" s="210"/>
      <c r="J609" s="227">
        <v>33.14</v>
      </c>
      <c r="K609" s="160"/>
      <c r="L609" s="229">
        <f t="shared" si="98"/>
        <v>4.3082000000000003</v>
      </c>
      <c r="M609" s="161"/>
      <c r="N609" s="157"/>
      <c r="O609" s="227">
        <f t="shared" si="99"/>
        <v>37.4482</v>
      </c>
      <c r="P609" s="140"/>
    </row>
    <row r="610" spans="2:16">
      <c r="B610" s="139">
        <v>4</v>
      </c>
      <c r="C610" s="218">
        <v>44805</v>
      </c>
      <c r="D610" s="203" t="s">
        <v>533</v>
      </c>
      <c r="E610" s="178" t="s">
        <v>197</v>
      </c>
      <c r="F610" s="139"/>
      <c r="G610" s="168" t="s">
        <v>90</v>
      </c>
      <c r="H610" s="209"/>
      <c r="I610" s="210"/>
      <c r="J610" s="227">
        <v>630</v>
      </c>
      <c r="K610" s="160"/>
      <c r="L610" s="229">
        <f t="shared" si="98"/>
        <v>81.900000000000006</v>
      </c>
      <c r="M610" s="161"/>
      <c r="N610" s="157"/>
      <c r="O610" s="227">
        <f t="shared" si="99"/>
        <v>711.9</v>
      </c>
      <c r="P610" s="140"/>
    </row>
    <row r="611" spans="2:16">
      <c r="B611" s="139">
        <v>5</v>
      </c>
      <c r="C611" s="218">
        <v>44840</v>
      </c>
      <c r="D611" s="203" t="s">
        <v>534</v>
      </c>
      <c r="E611" s="175" t="s">
        <v>151</v>
      </c>
      <c r="F611" s="139"/>
      <c r="G611" s="208" t="s">
        <v>99</v>
      </c>
      <c r="H611" s="209"/>
      <c r="I611" s="210"/>
      <c r="J611" s="227">
        <v>16.5</v>
      </c>
      <c r="K611" s="160"/>
      <c r="L611" s="229">
        <f t="shared" si="98"/>
        <v>2.145</v>
      </c>
      <c r="M611" s="161"/>
      <c r="N611" s="157"/>
      <c r="O611" s="227">
        <f t="shared" si="99"/>
        <v>18.645</v>
      </c>
      <c r="P611" s="140"/>
    </row>
    <row r="612" spans="2:16">
      <c r="B612" s="139">
        <v>6</v>
      </c>
      <c r="C612" s="218">
        <v>44840</v>
      </c>
      <c r="D612" s="203" t="s">
        <v>535</v>
      </c>
      <c r="E612" s="178" t="s">
        <v>192</v>
      </c>
      <c r="F612" s="139"/>
      <c r="G612" s="168" t="s">
        <v>96</v>
      </c>
      <c r="H612" s="139"/>
      <c r="I612" s="210"/>
      <c r="J612" s="227">
        <v>211.2</v>
      </c>
      <c r="K612" s="160"/>
      <c r="L612" s="229">
        <f t="shared" si="98"/>
        <v>27.456</v>
      </c>
      <c r="M612" s="161"/>
      <c r="N612" s="157"/>
      <c r="O612" s="227">
        <f t="shared" si="99"/>
        <v>238.65599999999998</v>
      </c>
      <c r="P612" s="140"/>
    </row>
    <row r="613" spans="2:16">
      <c r="B613" s="139">
        <v>7</v>
      </c>
      <c r="C613" s="218">
        <v>44840</v>
      </c>
      <c r="D613" s="203" t="s">
        <v>536</v>
      </c>
      <c r="E613" s="178" t="s">
        <v>341</v>
      </c>
      <c r="F613" s="139"/>
      <c r="G613" s="168" t="s">
        <v>342</v>
      </c>
      <c r="H613" s="139"/>
      <c r="I613" s="210"/>
      <c r="J613" s="227">
        <v>32.08</v>
      </c>
      <c r="K613" s="160"/>
      <c r="L613" s="229">
        <f t="shared" si="98"/>
        <v>4.1703999999999999</v>
      </c>
      <c r="M613" s="161"/>
      <c r="N613" s="157"/>
      <c r="O613" s="227">
        <f>+J613+L613+M613+N613</f>
        <v>36.250399999999999</v>
      </c>
      <c r="P613" s="140"/>
    </row>
    <row r="614" spans="2:16">
      <c r="B614" s="139">
        <v>8</v>
      </c>
      <c r="C614" s="218">
        <v>44841</v>
      </c>
      <c r="D614" s="203" t="s">
        <v>537</v>
      </c>
      <c r="E614" s="178" t="s">
        <v>179</v>
      </c>
      <c r="F614" s="139"/>
      <c r="G614" s="173" t="s">
        <v>100</v>
      </c>
      <c r="H614" s="209"/>
      <c r="I614" s="210"/>
      <c r="J614" s="227">
        <v>20.56</v>
      </c>
      <c r="K614" s="160"/>
      <c r="L614" s="229">
        <f t="shared" si="98"/>
        <v>2.6728000000000001</v>
      </c>
      <c r="M614" s="161"/>
      <c r="N614" s="157"/>
      <c r="O614" s="227">
        <f t="shared" ref="O614:O621" si="100">+J614+L614+M614</f>
        <v>23.232799999999997</v>
      </c>
      <c r="P614" s="140"/>
    </row>
    <row r="615" spans="2:16">
      <c r="B615" s="139">
        <v>9</v>
      </c>
      <c r="C615" s="218">
        <v>44843</v>
      </c>
      <c r="D615" s="203" t="s">
        <v>538</v>
      </c>
      <c r="E615" s="284" t="s">
        <v>161</v>
      </c>
      <c r="F615" s="139"/>
      <c r="G615" s="208" t="s">
        <v>162</v>
      </c>
      <c r="H615" s="209"/>
      <c r="I615" s="210"/>
      <c r="J615" s="227">
        <v>9.3800000000000008</v>
      </c>
      <c r="K615" s="160"/>
      <c r="L615" s="229">
        <f t="shared" si="98"/>
        <v>1.2194</v>
      </c>
      <c r="M615" s="161"/>
      <c r="N615" s="157"/>
      <c r="O615" s="227">
        <f t="shared" si="100"/>
        <v>10.599400000000001</v>
      </c>
      <c r="P615" s="140"/>
    </row>
    <row r="616" spans="2:16">
      <c r="B616" s="139">
        <v>10</v>
      </c>
      <c r="C616" s="218">
        <v>44845</v>
      </c>
      <c r="D616" s="203" t="s">
        <v>539</v>
      </c>
      <c r="E616" s="178" t="s">
        <v>165</v>
      </c>
      <c r="F616" s="139"/>
      <c r="G616" s="168" t="s">
        <v>98</v>
      </c>
      <c r="H616" s="139"/>
      <c r="I616" s="140"/>
      <c r="J616" s="227">
        <v>145.44</v>
      </c>
      <c r="K616" s="160"/>
      <c r="L616" s="229">
        <f t="shared" si="98"/>
        <v>18.9072</v>
      </c>
      <c r="M616" s="161">
        <v>1.45</v>
      </c>
      <c r="N616" s="157"/>
      <c r="O616" s="227">
        <f t="shared" si="100"/>
        <v>165.79719999999998</v>
      </c>
      <c r="P616" s="140"/>
    </row>
    <row r="617" spans="2:16">
      <c r="B617" s="139">
        <v>11</v>
      </c>
      <c r="C617" s="218">
        <v>44847</v>
      </c>
      <c r="D617" s="203" t="s">
        <v>540</v>
      </c>
      <c r="E617" s="284" t="s">
        <v>175</v>
      </c>
      <c r="F617" s="209"/>
      <c r="G617" s="208" t="s">
        <v>103</v>
      </c>
      <c r="H617" s="139"/>
      <c r="I617" s="140"/>
      <c r="J617" s="227">
        <v>16.41</v>
      </c>
      <c r="K617" s="160"/>
      <c r="L617" s="229">
        <f t="shared" si="98"/>
        <v>2.1333000000000002</v>
      </c>
      <c r="M617" s="161"/>
      <c r="N617" s="157"/>
      <c r="O617" s="227">
        <f t="shared" si="100"/>
        <v>18.543300000000002</v>
      </c>
      <c r="P617" s="140"/>
    </row>
    <row r="618" spans="2:16">
      <c r="B618" s="139">
        <v>12</v>
      </c>
      <c r="C618" s="218">
        <v>44847</v>
      </c>
      <c r="D618" s="203" t="s">
        <v>541</v>
      </c>
      <c r="E618" s="178" t="s">
        <v>179</v>
      </c>
      <c r="F618" s="139"/>
      <c r="G618" s="173" t="s">
        <v>100</v>
      </c>
      <c r="H618" s="139"/>
      <c r="I618" s="140"/>
      <c r="J618" s="227">
        <v>64.5</v>
      </c>
      <c r="K618" s="160"/>
      <c r="L618" s="229">
        <f t="shared" si="98"/>
        <v>8.3849999999999998</v>
      </c>
      <c r="M618" s="161"/>
      <c r="N618" s="157"/>
      <c r="O618" s="227">
        <f t="shared" si="100"/>
        <v>72.885000000000005</v>
      </c>
      <c r="P618" s="140"/>
    </row>
    <row r="619" spans="2:16">
      <c r="B619" s="139">
        <v>13</v>
      </c>
      <c r="C619" s="218">
        <v>44852</v>
      </c>
      <c r="D619" s="203" t="s">
        <v>542</v>
      </c>
      <c r="E619" s="178" t="s">
        <v>197</v>
      </c>
      <c r="F619" s="139"/>
      <c r="G619" s="168" t="s">
        <v>90</v>
      </c>
      <c r="H619" s="209"/>
      <c r="I619" s="140"/>
      <c r="J619" s="227">
        <v>48.36</v>
      </c>
      <c r="K619" s="160"/>
      <c r="L619" s="229">
        <f t="shared" si="98"/>
        <v>6.2868000000000004</v>
      </c>
      <c r="M619" s="161"/>
      <c r="N619" s="157"/>
      <c r="O619" s="227">
        <f t="shared" si="100"/>
        <v>54.646799999999999</v>
      </c>
      <c r="P619" s="140"/>
    </row>
    <row r="620" spans="2:16">
      <c r="B620" s="139">
        <v>14</v>
      </c>
      <c r="C620" s="218">
        <v>44852</v>
      </c>
      <c r="D620" s="203" t="s">
        <v>543</v>
      </c>
      <c r="E620" s="178" t="s">
        <v>197</v>
      </c>
      <c r="F620" s="139"/>
      <c r="G620" s="168" t="s">
        <v>90</v>
      </c>
      <c r="H620" s="209"/>
      <c r="I620" s="210"/>
      <c r="J620" s="227">
        <v>46.04</v>
      </c>
      <c r="K620" s="160"/>
      <c r="L620" s="229">
        <f t="shared" si="98"/>
        <v>5.9851999999999999</v>
      </c>
      <c r="M620" s="161"/>
      <c r="N620" s="157"/>
      <c r="O620" s="227">
        <f t="shared" si="100"/>
        <v>52.025199999999998</v>
      </c>
      <c r="P620" s="140"/>
    </row>
    <row r="621" spans="2:16">
      <c r="B621" s="139">
        <v>15</v>
      </c>
      <c r="C621" s="218">
        <v>44852</v>
      </c>
      <c r="D621" s="203" t="s">
        <v>544</v>
      </c>
      <c r="E621" s="178" t="s">
        <v>165</v>
      </c>
      <c r="F621" s="139"/>
      <c r="G621" s="168" t="s">
        <v>98</v>
      </c>
      <c r="H621" s="209"/>
      <c r="I621" s="210"/>
      <c r="J621" s="227">
        <v>68.900000000000006</v>
      </c>
      <c r="K621" s="160"/>
      <c r="L621" s="229">
        <f t="shared" si="98"/>
        <v>8.9570000000000007</v>
      </c>
      <c r="M621" s="161"/>
      <c r="N621" s="157"/>
      <c r="O621" s="227">
        <f t="shared" si="100"/>
        <v>77.856999999999999</v>
      </c>
      <c r="P621" s="140"/>
    </row>
    <row r="622" spans="2:16">
      <c r="B622" s="139">
        <v>16</v>
      </c>
      <c r="C622" s="218">
        <v>44852</v>
      </c>
      <c r="D622" s="203" t="s">
        <v>545</v>
      </c>
      <c r="E622" s="178" t="s">
        <v>165</v>
      </c>
      <c r="F622" s="139"/>
      <c r="G622" s="168" t="s">
        <v>98</v>
      </c>
      <c r="H622" s="209"/>
      <c r="I622" s="210"/>
      <c r="J622" s="227">
        <v>60.51</v>
      </c>
      <c r="K622" s="160"/>
      <c r="L622" s="229">
        <f t="shared" ref="L622" si="101">J622*13%</f>
        <v>7.8662999999999998</v>
      </c>
      <c r="M622" s="161"/>
      <c r="N622" s="157"/>
      <c r="O622" s="227">
        <f t="shared" ref="O622" si="102">+J622+L622+M622</f>
        <v>68.376300000000001</v>
      </c>
      <c r="P622" s="140"/>
    </row>
    <row r="623" spans="2:16">
      <c r="B623" s="139">
        <v>17</v>
      </c>
      <c r="C623" s="218">
        <v>44852</v>
      </c>
      <c r="D623" s="203" t="s">
        <v>546</v>
      </c>
      <c r="E623" s="178" t="s">
        <v>179</v>
      </c>
      <c r="F623" s="139"/>
      <c r="G623" s="173" t="s">
        <v>100</v>
      </c>
      <c r="H623" s="139"/>
      <c r="I623" s="140"/>
      <c r="J623" s="227">
        <v>138.79</v>
      </c>
      <c r="K623" s="160"/>
      <c r="L623" s="229">
        <f t="shared" si="98"/>
        <v>18.0427</v>
      </c>
      <c r="M623" s="161"/>
      <c r="N623" s="157"/>
      <c r="O623" s="227">
        <f>+J623+L623+M623+N623</f>
        <v>156.83269999999999</v>
      </c>
      <c r="P623" s="140"/>
    </row>
    <row r="624" spans="2:16">
      <c r="B624" s="139">
        <v>18</v>
      </c>
      <c r="C624" s="218">
        <v>44852</v>
      </c>
      <c r="D624" s="203" t="s">
        <v>547</v>
      </c>
      <c r="E624" s="284" t="s">
        <v>175</v>
      </c>
      <c r="F624" s="209"/>
      <c r="G624" s="208" t="s">
        <v>103</v>
      </c>
      <c r="H624" s="139"/>
      <c r="I624" s="210"/>
      <c r="J624" s="228">
        <v>16.46</v>
      </c>
      <c r="K624" s="240"/>
      <c r="L624" s="239">
        <f t="shared" si="98"/>
        <v>2.1398000000000001</v>
      </c>
      <c r="M624" s="161"/>
      <c r="N624" s="157"/>
      <c r="O624" s="227">
        <f t="shared" ref="O624:O626" si="103">+J624+L624+M624</f>
        <v>18.599800000000002</v>
      </c>
      <c r="P624" s="140"/>
    </row>
    <row r="625" spans="2:16">
      <c r="B625" s="139">
        <v>19</v>
      </c>
      <c r="C625" s="218">
        <v>44855</v>
      </c>
      <c r="D625" s="203" t="s">
        <v>548</v>
      </c>
      <c r="E625" s="178" t="s">
        <v>165</v>
      </c>
      <c r="F625" s="139"/>
      <c r="G625" s="168" t="s">
        <v>98</v>
      </c>
      <c r="H625" s="209"/>
      <c r="I625" s="210"/>
      <c r="J625" s="227">
        <v>8.41</v>
      </c>
      <c r="K625" s="160"/>
      <c r="L625" s="229">
        <f t="shared" si="98"/>
        <v>1.0933000000000002</v>
      </c>
      <c r="M625" s="161"/>
      <c r="N625" s="157"/>
      <c r="O625" s="227">
        <f t="shared" si="103"/>
        <v>9.5032999999999994</v>
      </c>
      <c r="P625" s="140"/>
    </row>
    <row r="626" spans="2:16">
      <c r="B626" s="139">
        <v>20</v>
      </c>
      <c r="C626" s="218">
        <v>44855</v>
      </c>
      <c r="D626" s="203" t="s">
        <v>549</v>
      </c>
      <c r="E626" s="178" t="s">
        <v>246</v>
      </c>
      <c r="F626" s="139"/>
      <c r="G626" s="173" t="s">
        <v>247</v>
      </c>
      <c r="H626" s="209"/>
      <c r="I626" s="210"/>
      <c r="J626" s="227">
        <v>13.98</v>
      </c>
      <c r="K626" s="160"/>
      <c r="L626" s="229">
        <f t="shared" si="98"/>
        <v>1.8174000000000001</v>
      </c>
      <c r="M626" s="161"/>
      <c r="N626" s="157"/>
      <c r="O626" s="227">
        <f t="shared" si="103"/>
        <v>15.7974</v>
      </c>
      <c r="P626" s="140"/>
    </row>
    <row r="627" spans="2:16">
      <c r="B627" s="139">
        <v>21</v>
      </c>
      <c r="C627" s="218">
        <v>44856</v>
      </c>
      <c r="D627" s="203" t="s">
        <v>550</v>
      </c>
      <c r="E627" s="284" t="s">
        <v>200</v>
      </c>
      <c r="F627" s="209"/>
      <c r="G627" s="208" t="s">
        <v>97</v>
      </c>
      <c r="H627" s="209"/>
      <c r="I627" s="210"/>
      <c r="J627" s="228">
        <v>16.399999999999999</v>
      </c>
      <c r="K627" s="240"/>
      <c r="L627" s="239">
        <f t="shared" si="98"/>
        <v>2.1319999999999997</v>
      </c>
      <c r="M627" s="161"/>
      <c r="N627" s="157"/>
      <c r="O627" s="228">
        <f>+J627+L627+M627+N627</f>
        <v>18.531999999999996</v>
      </c>
      <c r="P627" s="140"/>
    </row>
    <row r="628" spans="2:16">
      <c r="B628" s="139">
        <v>22</v>
      </c>
      <c r="C628" s="218">
        <v>44859</v>
      </c>
      <c r="D628" s="203" t="s">
        <v>551</v>
      </c>
      <c r="E628" s="178" t="s">
        <v>179</v>
      </c>
      <c r="F628" s="139"/>
      <c r="G628" s="173" t="s">
        <v>100</v>
      </c>
      <c r="H628" s="209"/>
      <c r="I628" s="210"/>
      <c r="J628" s="227">
        <v>33.96</v>
      </c>
      <c r="K628" s="160"/>
      <c r="L628" s="229">
        <f t="shared" si="98"/>
        <v>4.4148000000000005</v>
      </c>
      <c r="M628" s="161"/>
      <c r="N628" s="157"/>
      <c r="O628" s="227">
        <f t="shared" ref="O628:O632" si="104">+J628+L628+M628</f>
        <v>38.3748</v>
      </c>
      <c r="P628" s="140"/>
    </row>
    <row r="629" spans="2:16">
      <c r="B629" s="139">
        <v>23</v>
      </c>
      <c r="C629" s="218">
        <v>44859</v>
      </c>
      <c r="D629" s="203" t="s">
        <v>552</v>
      </c>
      <c r="E629" s="178" t="s">
        <v>165</v>
      </c>
      <c r="F629" s="139"/>
      <c r="G629" s="168" t="s">
        <v>98</v>
      </c>
      <c r="H629" s="302"/>
      <c r="I629" s="210"/>
      <c r="J629" s="227">
        <v>146.19999999999999</v>
      </c>
      <c r="K629" s="160"/>
      <c r="L629" s="229">
        <f t="shared" ref="L629" si="105">J629*13%</f>
        <v>19.006</v>
      </c>
      <c r="M629" s="161">
        <v>1.46</v>
      </c>
      <c r="N629" s="157"/>
      <c r="O629" s="227">
        <f t="shared" ref="O629" si="106">+J629+L629+M629</f>
        <v>166.666</v>
      </c>
      <c r="P629" s="140"/>
    </row>
    <row r="630" spans="2:16">
      <c r="B630" s="139">
        <v>24</v>
      </c>
      <c r="C630" s="218">
        <v>44861</v>
      </c>
      <c r="D630" s="203" t="s">
        <v>553</v>
      </c>
      <c r="E630" s="178" t="s">
        <v>179</v>
      </c>
      <c r="F630" s="139"/>
      <c r="G630" s="173" t="s">
        <v>100</v>
      </c>
      <c r="H630" s="209"/>
      <c r="I630" s="210"/>
      <c r="J630" s="227">
        <v>11.99</v>
      </c>
      <c r="K630" s="160"/>
      <c r="L630" s="229">
        <f t="shared" si="98"/>
        <v>1.5587</v>
      </c>
      <c r="M630" s="161"/>
      <c r="N630" s="157"/>
      <c r="O630" s="227">
        <f t="shared" si="104"/>
        <v>13.5487</v>
      </c>
      <c r="P630" s="140"/>
    </row>
    <row r="631" spans="2:16">
      <c r="B631" s="139">
        <v>25</v>
      </c>
      <c r="C631" s="218">
        <v>44861</v>
      </c>
      <c r="D631" s="203" t="s">
        <v>554</v>
      </c>
      <c r="E631" s="178" t="s">
        <v>234</v>
      </c>
      <c r="F631" s="139"/>
      <c r="G631" s="173" t="s">
        <v>233</v>
      </c>
      <c r="H631" s="302"/>
      <c r="I631" s="210"/>
      <c r="J631" s="227">
        <v>14.82</v>
      </c>
      <c r="K631" s="160"/>
      <c r="L631" s="229">
        <f t="shared" si="98"/>
        <v>1.9266000000000001</v>
      </c>
      <c r="M631" s="161"/>
      <c r="N631" s="157"/>
      <c r="O631" s="227">
        <f t="shared" si="104"/>
        <v>16.746600000000001</v>
      </c>
      <c r="P631" s="140"/>
    </row>
    <row r="632" spans="2:16">
      <c r="B632" s="139">
        <v>26</v>
      </c>
      <c r="C632" s="218">
        <v>44863</v>
      </c>
      <c r="D632" s="203" t="s">
        <v>555</v>
      </c>
      <c r="E632" s="284" t="s">
        <v>175</v>
      </c>
      <c r="F632" s="209"/>
      <c r="G632" s="208" t="s">
        <v>103</v>
      </c>
      <c r="H632" s="139"/>
      <c r="I632" s="210"/>
      <c r="J632" s="228">
        <v>16.41</v>
      </c>
      <c r="K632" s="240"/>
      <c r="L632" s="239">
        <f t="shared" ref="L632" si="107">J632*13%</f>
        <v>2.1333000000000002</v>
      </c>
      <c r="M632" s="161"/>
      <c r="N632" s="157"/>
      <c r="O632" s="227">
        <f t="shared" si="104"/>
        <v>18.543300000000002</v>
      </c>
      <c r="P632" s="140"/>
    </row>
    <row r="633" spans="2:16">
      <c r="B633" s="139">
        <v>27</v>
      </c>
      <c r="C633" s="218">
        <v>44864</v>
      </c>
      <c r="D633" s="203" t="s">
        <v>556</v>
      </c>
      <c r="E633" s="284" t="s">
        <v>175</v>
      </c>
      <c r="F633" s="209"/>
      <c r="G633" s="208" t="s">
        <v>103</v>
      </c>
      <c r="H633" s="139"/>
      <c r="I633" s="210"/>
      <c r="J633" s="228">
        <v>21.77</v>
      </c>
      <c r="K633" s="240"/>
      <c r="L633" s="239">
        <f t="shared" ref="L633" si="108">J633*13%</f>
        <v>2.8300999999999998</v>
      </c>
      <c r="M633" s="161"/>
      <c r="N633" s="157"/>
      <c r="O633" s="227">
        <f t="shared" ref="O633" si="109">+J633+L633+M633</f>
        <v>24.600099999999998</v>
      </c>
      <c r="P633" s="140"/>
    </row>
    <row r="634" spans="2:16">
      <c r="B634" s="139"/>
      <c r="C634" s="225"/>
      <c r="D634" s="177"/>
      <c r="E634" s="177"/>
      <c r="F634" s="139"/>
      <c r="G634" s="226"/>
      <c r="H634" s="139"/>
      <c r="I634" s="140"/>
      <c r="J634" s="204"/>
      <c r="K634" s="160"/>
      <c r="L634" s="204"/>
      <c r="M634" s="161"/>
      <c r="N634" s="157"/>
      <c r="O634" s="22"/>
      <c r="P634" s="140"/>
    </row>
    <row r="635" spans="2:16">
      <c r="B635" s="128"/>
      <c r="C635" s="129"/>
      <c r="D635" s="125"/>
      <c r="E635" s="125"/>
      <c r="F635" s="125"/>
      <c r="G635" s="149" t="s">
        <v>88</v>
      </c>
      <c r="H635" s="130"/>
      <c r="I635" s="130"/>
      <c r="J635" s="230">
        <f>SUM(J607:J633)</f>
        <v>1939.5600000000006</v>
      </c>
      <c r="K635" s="230"/>
      <c r="L635" s="230">
        <f>SUM(L607:L633)</f>
        <v>252.14279999999994</v>
      </c>
      <c r="M635" s="230">
        <f>SUM(M607:M633)</f>
        <v>2.91</v>
      </c>
      <c r="N635" s="230">
        <f>SUM(N607:N633)</f>
        <v>0</v>
      </c>
      <c r="O635" s="230">
        <f>SUM(O607:O633)</f>
        <v>2194.6127999999994</v>
      </c>
      <c r="P635" s="130"/>
    </row>
    <row r="636" spans="2:16">
      <c r="B636" s="310"/>
      <c r="C636" s="311"/>
      <c r="D636" s="312"/>
      <c r="E636" s="312"/>
      <c r="F636" s="312"/>
      <c r="G636" s="47"/>
      <c r="H636" s="313"/>
      <c r="I636" s="313"/>
      <c r="J636" s="314"/>
      <c r="K636" s="314"/>
      <c r="L636" s="314"/>
      <c r="M636" s="314"/>
      <c r="N636" s="314"/>
      <c r="O636" s="314"/>
      <c r="P636" s="313"/>
    </row>
    <row r="637" spans="2:16">
      <c r="B637" s="310"/>
      <c r="C637" s="311"/>
      <c r="D637" s="312"/>
      <c r="E637" s="312"/>
      <c r="F637" s="312"/>
      <c r="G637" s="47"/>
      <c r="H637" s="313"/>
      <c r="I637" s="313"/>
      <c r="J637" s="314"/>
      <c r="K637" s="314"/>
      <c r="L637" s="314">
        <f>L607+L611+L615+L624+L627+L632+L633</f>
        <v>15.2737</v>
      </c>
      <c r="M637" s="314"/>
      <c r="N637" s="314"/>
      <c r="O637" s="314"/>
      <c r="P637" s="313"/>
    </row>
    <row r="638" spans="2:16" ht="15.6">
      <c r="B638" s="147" t="s">
        <v>11</v>
      </c>
      <c r="C638" s="147"/>
      <c r="D638" s="147"/>
      <c r="I638" s="213"/>
      <c r="J638" s="329"/>
      <c r="L638" s="329">
        <f>L637/2</f>
        <v>7.6368499999999999</v>
      </c>
      <c r="O638" s="103"/>
      <c r="P638" s="103"/>
    </row>
    <row r="639" spans="2:16" ht="17.399999999999999">
      <c r="B639" s="90" t="s">
        <v>84</v>
      </c>
      <c r="C639" s="83"/>
      <c r="D639" s="83"/>
      <c r="I639" s="47"/>
      <c r="J639" s="206"/>
      <c r="L639" s="103"/>
    </row>
    <row r="640" spans="2:16" ht="15.6">
      <c r="B640" s="83" t="s">
        <v>12</v>
      </c>
      <c r="L640" s="103"/>
    </row>
    <row r="650" spans="1:16">
      <c r="A650" t="s">
        <v>590</v>
      </c>
    </row>
    <row r="651" spans="1:16" ht="16.2">
      <c r="B651" s="87" t="s">
        <v>15</v>
      </c>
      <c r="C651" s="79"/>
      <c r="D651" s="148" t="s">
        <v>139</v>
      </c>
      <c r="E651" s="79"/>
      <c r="F651" s="79"/>
      <c r="G651" s="79"/>
      <c r="H651" s="115"/>
      <c r="I651" s="115"/>
      <c r="J651" s="115"/>
      <c r="K651" s="162" t="s">
        <v>80</v>
      </c>
      <c r="L651" s="115"/>
      <c r="M651" s="115"/>
      <c r="N651" s="115"/>
      <c r="O651" s="115"/>
      <c r="P651" s="79"/>
    </row>
    <row r="652" spans="1:16" ht="16.2">
      <c r="B652" s="79" t="s">
        <v>140</v>
      </c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</row>
    <row r="653" spans="1:16" ht="16.8">
      <c r="B653" s="79" t="s">
        <v>16</v>
      </c>
      <c r="C653" s="256" t="s">
        <v>557</v>
      </c>
      <c r="D653" s="88" t="s">
        <v>8</v>
      </c>
      <c r="E653" s="80">
        <v>2022</v>
      </c>
      <c r="F653" s="80"/>
      <c r="G653" s="79"/>
      <c r="H653" s="79"/>
      <c r="I653" s="79"/>
      <c r="J653" s="79"/>
      <c r="K653" s="79"/>
      <c r="L653" s="79"/>
      <c r="M653" s="79"/>
      <c r="N653" s="79"/>
      <c r="O653" s="79"/>
      <c r="P653" s="79"/>
    </row>
    <row r="654" spans="1:16">
      <c r="B654" s="131" t="s">
        <v>17</v>
      </c>
      <c r="C654" s="131" t="s">
        <v>18</v>
      </c>
      <c r="D654" s="131" t="s">
        <v>19</v>
      </c>
      <c r="E654" s="131" t="s">
        <v>19</v>
      </c>
      <c r="F654" s="132" t="s">
        <v>44</v>
      </c>
      <c r="G654" s="133"/>
      <c r="H654" s="134"/>
      <c r="I654" s="135"/>
      <c r="J654" s="134"/>
      <c r="K654" s="135"/>
      <c r="L654" s="136"/>
      <c r="M654" s="135" t="s">
        <v>85</v>
      </c>
      <c r="N654" s="137" t="s">
        <v>56</v>
      </c>
      <c r="O654" s="138" t="s">
        <v>20</v>
      </c>
      <c r="P654" s="132" t="s">
        <v>47</v>
      </c>
    </row>
    <row r="655" spans="1:16">
      <c r="B655" s="139" t="s">
        <v>21</v>
      </c>
      <c r="C655" s="139" t="s">
        <v>22</v>
      </c>
      <c r="D655" s="139" t="s">
        <v>23</v>
      </c>
      <c r="E655" s="139" t="s">
        <v>24</v>
      </c>
      <c r="F655" s="140" t="s">
        <v>45</v>
      </c>
      <c r="G655" s="81" t="s">
        <v>25</v>
      </c>
      <c r="H655" s="211" t="s">
        <v>26</v>
      </c>
      <c r="I655" s="214"/>
      <c r="J655" s="212" t="s">
        <v>27</v>
      </c>
      <c r="K655" s="215"/>
      <c r="L655" s="216"/>
      <c r="M655" s="141" t="s">
        <v>86</v>
      </c>
      <c r="N655" s="142" t="s">
        <v>57</v>
      </c>
      <c r="O655" s="143" t="s">
        <v>28</v>
      </c>
      <c r="P655" s="140" t="s">
        <v>48</v>
      </c>
    </row>
    <row r="656" spans="1:16">
      <c r="B656" s="144"/>
      <c r="C656" s="144"/>
      <c r="D656" s="144"/>
      <c r="E656" s="144"/>
      <c r="F656" s="145" t="s">
        <v>46</v>
      </c>
      <c r="G656" s="146"/>
      <c r="H656" s="144" t="s">
        <v>29</v>
      </c>
      <c r="I656" s="145" t="s">
        <v>30</v>
      </c>
      <c r="J656" s="144" t="s">
        <v>29</v>
      </c>
      <c r="K656" s="145" t="s">
        <v>30</v>
      </c>
      <c r="L656" s="145" t="s">
        <v>31</v>
      </c>
      <c r="M656" s="212" t="s">
        <v>87</v>
      </c>
      <c r="N656" s="211" t="s">
        <v>58</v>
      </c>
      <c r="O656" s="212"/>
      <c r="P656" s="140" t="s">
        <v>49</v>
      </c>
    </row>
    <row r="657" spans="2:16">
      <c r="B657" s="139">
        <v>1</v>
      </c>
      <c r="C657" s="374">
        <v>44865</v>
      </c>
      <c r="D657" s="375" t="s">
        <v>558</v>
      </c>
      <c r="E657" s="231" t="s">
        <v>165</v>
      </c>
      <c r="F657" s="139"/>
      <c r="G657" s="169" t="s">
        <v>98</v>
      </c>
      <c r="H657" s="139"/>
      <c r="I657" s="140"/>
      <c r="J657" s="376">
        <v>64.930000000000007</v>
      </c>
      <c r="K657" s="160"/>
      <c r="L657" s="377">
        <f t="shared" ref="L657:L680" si="110">J657*13%</f>
        <v>8.440900000000001</v>
      </c>
      <c r="M657" s="161"/>
      <c r="N657" s="132"/>
      <c r="O657" s="376">
        <f t="shared" ref="O657:O662" si="111">+J657+L657+M657</f>
        <v>73.370900000000006</v>
      </c>
      <c r="P657" s="140"/>
    </row>
    <row r="658" spans="2:16">
      <c r="B658" s="139">
        <v>2</v>
      </c>
      <c r="C658" s="374">
        <v>44865</v>
      </c>
      <c r="D658" s="375" t="s">
        <v>559</v>
      </c>
      <c r="E658" s="231" t="s">
        <v>165</v>
      </c>
      <c r="F658" s="139"/>
      <c r="G658" s="169" t="s">
        <v>98</v>
      </c>
      <c r="H658" s="209"/>
      <c r="I658" s="210"/>
      <c r="J658" s="376">
        <v>68.760000000000005</v>
      </c>
      <c r="K658" s="160"/>
      <c r="L658" s="377">
        <f t="shared" si="110"/>
        <v>8.9388000000000005</v>
      </c>
      <c r="M658" s="161"/>
      <c r="N658" s="140"/>
      <c r="O658" s="376">
        <f t="shared" si="111"/>
        <v>77.698800000000006</v>
      </c>
      <c r="P658" s="140"/>
    </row>
    <row r="659" spans="2:16">
      <c r="B659" s="139">
        <v>3</v>
      </c>
      <c r="C659" s="374">
        <v>44866</v>
      </c>
      <c r="D659" s="375" t="s">
        <v>560</v>
      </c>
      <c r="E659" s="231" t="s">
        <v>341</v>
      </c>
      <c r="F659" s="139"/>
      <c r="G659" s="169" t="s">
        <v>342</v>
      </c>
      <c r="H659" s="209"/>
      <c r="I659" s="210"/>
      <c r="J659" s="376">
        <v>27.4</v>
      </c>
      <c r="K659" s="160"/>
      <c r="L659" s="377">
        <f t="shared" si="110"/>
        <v>3.5619999999999998</v>
      </c>
      <c r="M659" s="161"/>
      <c r="N659" s="140"/>
      <c r="O659" s="376">
        <f t="shared" si="111"/>
        <v>30.962</v>
      </c>
      <c r="P659" s="140"/>
    </row>
    <row r="660" spans="2:16">
      <c r="B660" s="139">
        <v>4</v>
      </c>
      <c r="C660" s="374">
        <v>44868</v>
      </c>
      <c r="D660" s="375" t="s">
        <v>561</v>
      </c>
      <c r="E660" s="231" t="s">
        <v>562</v>
      </c>
      <c r="F660" s="139"/>
      <c r="G660" s="174" t="s">
        <v>563</v>
      </c>
      <c r="H660" s="209"/>
      <c r="I660" s="210"/>
      <c r="J660" s="376">
        <v>96.46</v>
      </c>
      <c r="K660" s="160"/>
      <c r="L660" s="377">
        <f t="shared" si="110"/>
        <v>12.5398</v>
      </c>
      <c r="M660" s="161"/>
      <c r="N660" s="140"/>
      <c r="O660" s="376">
        <f t="shared" si="111"/>
        <v>108.99979999999999</v>
      </c>
      <c r="P660" s="140"/>
    </row>
    <row r="661" spans="2:16">
      <c r="B661" s="139">
        <v>5</v>
      </c>
      <c r="C661" s="374">
        <v>44868</v>
      </c>
      <c r="D661" s="375" t="s">
        <v>564</v>
      </c>
      <c r="E661" s="231" t="s">
        <v>197</v>
      </c>
      <c r="F661" s="139"/>
      <c r="G661" s="169" t="s">
        <v>90</v>
      </c>
      <c r="H661" s="209"/>
      <c r="I661" s="210"/>
      <c r="J661" s="376">
        <v>630</v>
      </c>
      <c r="K661" s="160"/>
      <c r="L661" s="377">
        <f t="shared" si="110"/>
        <v>81.900000000000006</v>
      </c>
      <c r="M661" s="161"/>
      <c r="N661" s="140"/>
      <c r="O661" s="376">
        <f t="shared" si="111"/>
        <v>711.9</v>
      </c>
      <c r="P661" s="140"/>
    </row>
    <row r="662" spans="2:16">
      <c r="B662" s="139">
        <v>6</v>
      </c>
      <c r="C662" s="374">
        <v>44869</v>
      </c>
      <c r="D662" s="375" t="s">
        <v>565</v>
      </c>
      <c r="E662" s="378" t="s">
        <v>175</v>
      </c>
      <c r="F662" s="209"/>
      <c r="G662" s="379" t="s">
        <v>103</v>
      </c>
      <c r="H662" s="139"/>
      <c r="I662" s="210"/>
      <c r="J662" s="380">
        <v>8.2100000000000009</v>
      </c>
      <c r="K662" s="240"/>
      <c r="L662" s="381">
        <f t="shared" si="110"/>
        <v>1.0673000000000001</v>
      </c>
      <c r="M662" s="161"/>
      <c r="N662" s="140"/>
      <c r="O662" s="376">
        <f t="shared" si="111"/>
        <v>9.2773000000000003</v>
      </c>
      <c r="P662" s="140"/>
    </row>
    <row r="663" spans="2:16">
      <c r="B663" s="139">
        <v>7</v>
      </c>
      <c r="C663" s="374">
        <v>44873</v>
      </c>
      <c r="D663" s="375" t="s">
        <v>566</v>
      </c>
      <c r="E663" s="231" t="s">
        <v>165</v>
      </c>
      <c r="F663" s="139"/>
      <c r="G663" s="169" t="s">
        <v>98</v>
      </c>
      <c r="H663" s="139"/>
      <c r="I663" s="210"/>
      <c r="J663" s="376">
        <v>101.59</v>
      </c>
      <c r="K663" s="160"/>
      <c r="L663" s="377">
        <f t="shared" si="110"/>
        <v>13.206700000000001</v>
      </c>
      <c r="M663" s="161">
        <v>1.02</v>
      </c>
      <c r="N663" s="140"/>
      <c r="O663" s="376">
        <f>+J663+L663+M663+N663</f>
        <v>115.8167</v>
      </c>
      <c r="P663" s="140"/>
    </row>
    <row r="664" spans="2:16">
      <c r="B664" s="139">
        <v>8</v>
      </c>
      <c r="C664" s="374">
        <v>44873</v>
      </c>
      <c r="D664" s="375" t="s">
        <v>567</v>
      </c>
      <c r="E664" s="231" t="s">
        <v>165</v>
      </c>
      <c r="F664" s="139"/>
      <c r="G664" s="169" t="s">
        <v>98</v>
      </c>
      <c r="H664" s="139"/>
      <c r="I664" s="210"/>
      <c r="J664" s="376">
        <v>7.35</v>
      </c>
      <c r="K664" s="160"/>
      <c r="L664" s="377">
        <f t="shared" si="110"/>
        <v>0.95550000000000002</v>
      </c>
      <c r="M664" s="161"/>
      <c r="N664" s="140"/>
      <c r="O664" s="376">
        <f t="shared" ref="O664:O672" si="112">+J664+L664+M664</f>
        <v>8.3055000000000003</v>
      </c>
      <c r="P664" s="140"/>
    </row>
    <row r="665" spans="2:16">
      <c r="B665" s="139">
        <v>9</v>
      </c>
      <c r="C665" s="374">
        <v>44874</v>
      </c>
      <c r="D665" s="375" t="s">
        <v>568</v>
      </c>
      <c r="E665" s="378" t="s">
        <v>304</v>
      </c>
      <c r="F665" s="139"/>
      <c r="G665" s="379" t="s">
        <v>305</v>
      </c>
      <c r="H665" s="209"/>
      <c r="I665" s="210"/>
      <c r="J665" s="380">
        <v>8.2460000000000004</v>
      </c>
      <c r="K665" s="240"/>
      <c r="L665" s="381">
        <f t="shared" si="110"/>
        <v>1.0719800000000002</v>
      </c>
      <c r="M665" s="161"/>
      <c r="N665" s="140"/>
      <c r="O665" s="376">
        <f t="shared" si="112"/>
        <v>9.3179800000000004</v>
      </c>
      <c r="P665" s="140"/>
    </row>
    <row r="666" spans="2:16">
      <c r="B666" s="139">
        <v>10</v>
      </c>
      <c r="C666" s="374">
        <v>44875</v>
      </c>
      <c r="D666" s="375" t="s">
        <v>569</v>
      </c>
      <c r="E666" s="378" t="s">
        <v>490</v>
      </c>
      <c r="F666" s="209"/>
      <c r="G666" s="379" t="s">
        <v>491</v>
      </c>
      <c r="H666" s="139"/>
      <c r="I666" s="140"/>
      <c r="J666" s="380">
        <v>16.53</v>
      </c>
      <c r="K666" s="240"/>
      <c r="L666" s="381">
        <f t="shared" si="110"/>
        <v>2.1489000000000003</v>
      </c>
      <c r="M666" s="161"/>
      <c r="N666" s="140"/>
      <c r="O666" s="376">
        <f t="shared" si="112"/>
        <v>18.678900000000002</v>
      </c>
      <c r="P666" s="140"/>
    </row>
    <row r="667" spans="2:16">
      <c r="B667" s="139">
        <v>11</v>
      </c>
      <c r="C667" s="374">
        <v>44876</v>
      </c>
      <c r="D667" s="375" t="s">
        <v>570</v>
      </c>
      <c r="E667" s="231" t="s">
        <v>192</v>
      </c>
      <c r="F667" s="139"/>
      <c r="G667" s="174" t="s">
        <v>96</v>
      </c>
      <c r="H667" s="209"/>
      <c r="I667" s="140"/>
      <c r="J667" s="376">
        <v>271.68</v>
      </c>
      <c r="K667" s="160"/>
      <c r="L667" s="377">
        <f t="shared" si="110"/>
        <v>35.318400000000004</v>
      </c>
      <c r="M667" s="161"/>
      <c r="N667" s="140"/>
      <c r="O667" s="376">
        <f t="shared" si="112"/>
        <v>306.9984</v>
      </c>
      <c r="P667" s="140"/>
    </row>
    <row r="668" spans="2:16">
      <c r="B668" s="139">
        <v>12</v>
      </c>
      <c r="C668" s="374">
        <v>44879</v>
      </c>
      <c r="D668" s="375" t="s">
        <v>571</v>
      </c>
      <c r="E668" s="382" t="s">
        <v>176</v>
      </c>
      <c r="F668" s="209"/>
      <c r="G668" s="217" t="s">
        <v>105</v>
      </c>
      <c r="H668" s="139"/>
      <c r="I668" s="140"/>
      <c r="J668" s="380">
        <v>20.51</v>
      </c>
      <c r="K668" s="240"/>
      <c r="L668" s="381">
        <f t="shared" si="110"/>
        <v>2.6663000000000001</v>
      </c>
      <c r="M668" s="161"/>
      <c r="N668" s="140"/>
      <c r="O668" s="376">
        <f t="shared" si="112"/>
        <v>23.176300000000001</v>
      </c>
      <c r="P668" s="140"/>
    </row>
    <row r="669" spans="2:16">
      <c r="B669" s="139">
        <v>13</v>
      </c>
      <c r="C669" s="374">
        <v>44879</v>
      </c>
      <c r="D669" s="375" t="s">
        <v>572</v>
      </c>
      <c r="E669" s="231" t="s">
        <v>165</v>
      </c>
      <c r="F669" s="139"/>
      <c r="G669" s="169" t="s">
        <v>98</v>
      </c>
      <c r="H669" s="209"/>
      <c r="I669" s="140"/>
      <c r="J669" s="376">
        <v>121.04</v>
      </c>
      <c r="K669" s="160"/>
      <c r="L669" s="377">
        <f t="shared" si="110"/>
        <v>15.735200000000001</v>
      </c>
      <c r="M669" s="161">
        <v>1.21</v>
      </c>
      <c r="N669" s="140"/>
      <c r="O669" s="376">
        <f t="shared" si="112"/>
        <v>137.98520000000002</v>
      </c>
      <c r="P669" s="140"/>
    </row>
    <row r="670" spans="2:16">
      <c r="B670" s="139">
        <v>14</v>
      </c>
      <c r="C670" s="374">
        <v>44879</v>
      </c>
      <c r="D670" s="375" t="s">
        <v>573</v>
      </c>
      <c r="E670" s="231" t="s">
        <v>165</v>
      </c>
      <c r="F670" s="139"/>
      <c r="G670" s="169" t="s">
        <v>98</v>
      </c>
      <c r="H670" s="209"/>
      <c r="I670" s="210"/>
      <c r="J670" s="376">
        <v>4.5999999999999996</v>
      </c>
      <c r="K670" s="160"/>
      <c r="L670" s="377">
        <f t="shared" si="110"/>
        <v>0.59799999999999998</v>
      </c>
      <c r="M670" s="161"/>
      <c r="N670" s="140"/>
      <c r="O670" s="376">
        <f t="shared" si="112"/>
        <v>5.1979999999999995</v>
      </c>
      <c r="P670" s="140"/>
    </row>
    <row r="671" spans="2:16">
      <c r="B671" s="139">
        <v>15</v>
      </c>
      <c r="C671" s="374">
        <v>44880</v>
      </c>
      <c r="D671" s="375" t="s">
        <v>574</v>
      </c>
      <c r="E671" s="231" t="s">
        <v>179</v>
      </c>
      <c r="F671" s="139"/>
      <c r="G671" s="174" t="s">
        <v>100</v>
      </c>
      <c r="H671" s="209"/>
      <c r="I671" s="210"/>
      <c r="J671" s="376">
        <v>96.95</v>
      </c>
      <c r="K671" s="160"/>
      <c r="L671" s="377">
        <f t="shared" si="110"/>
        <v>12.6035</v>
      </c>
      <c r="M671" s="161"/>
      <c r="N671" s="140"/>
      <c r="O671" s="376">
        <f t="shared" si="112"/>
        <v>109.5535</v>
      </c>
      <c r="P671" s="140"/>
    </row>
    <row r="672" spans="2:16">
      <c r="B672" s="139">
        <v>16</v>
      </c>
      <c r="C672" s="374">
        <v>44885</v>
      </c>
      <c r="D672" s="375" t="s">
        <v>575</v>
      </c>
      <c r="E672" s="378" t="s">
        <v>200</v>
      </c>
      <c r="F672" s="209"/>
      <c r="G672" s="379" t="s">
        <v>97</v>
      </c>
      <c r="H672" s="209"/>
      <c r="I672" s="210"/>
      <c r="J672" s="380">
        <v>16.399999999999999</v>
      </c>
      <c r="K672" s="240"/>
      <c r="L672" s="381">
        <f t="shared" si="110"/>
        <v>2.1319999999999997</v>
      </c>
      <c r="M672" s="161"/>
      <c r="N672" s="140"/>
      <c r="O672" s="376">
        <f t="shared" si="112"/>
        <v>18.531999999999996</v>
      </c>
      <c r="P672" s="140"/>
    </row>
    <row r="673" spans="2:16">
      <c r="B673" s="139">
        <v>17</v>
      </c>
      <c r="C673" s="374">
        <v>44887</v>
      </c>
      <c r="D673" s="375" t="s">
        <v>576</v>
      </c>
      <c r="E673" s="378" t="s">
        <v>304</v>
      </c>
      <c r="F673" s="139"/>
      <c r="G673" s="379" t="s">
        <v>305</v>
      </c>
      <c r="H673" s="139"/>
      <c r="I673" s="140"/>
      <c r="J673" s="380">
        <v>16.492999999999999</v>
      </c>
      <c r="K673" s="240"/>
      <c r="L673" s="381">
        <f t="shared" si="110"/>
        <v>2.1440899999999998</v>
      </c>
      <c r="M673" s="161"/>
      <c r="N673" s="140"/>
      <c r="O673" s="376">
        <f>+J673+L673+M673+N673</f>
        <v>18.637089999999997</v>
      </c>
      <c r="P673" s="140"/>
    </row>
    <row r="674" spans="2:16">
      <c r="B674" s="139">
        <v>18</v>
      </c>
      <c r="C674" s="374">
        <v>44887</v>
      </c>
      <c r="D674" s="375" t="s">
        <v>577</v>
      </c>
      <c r="E674" s="231" t="s">
        <v>165</v>
      </c>
      <c r="F674" s="139"/>
      <c r="G674" s="169" t="s">
        <v>98</v>
      </c>
      <c r="H674" s="209"/>
      <c r="I674" s="210"/>
      <c r="J674" s="376">
        <v>84.88</v>
      </c>
      <c r="K674" s="240"/>
      <c r="L674" s="377">
        <f t="shared" si="110"/>
        <v>11.0344</v>
      </c>
      <c r="M674" s="161"/>
      <c r="N674" s="140"/>
      <c r="O674" s="376">
        <f t="shared" ref="O674:O676" si="113">+J674+L674+M674</f>
        <v>95.914400000000001</v>
      </c>
      <c r="P674" s="140"/>
    </row>
    <row r="675" spans="2:16">
      <c r="B675" s="139">
        <v>19</v>
      </c>
      <c r="C675" s="374">
        <v>44887</v>
      </c>
      <c r="D675" s="375" t="s">
        <v>578</v>
      </c>
      <c r="E675" s="231" t="s">
        <v>165</v>
      </c>
      <c r="F675" s="139"/>
      <c r="G675" s="169" t="s">
        <v>98</v>
      </c>
      <c r="H675" s="209"/>
      <c r="I675" s="210"/>
      <c r="J675" s="376">
        <v>35.31</v>
      </c>
      <c r="K675" s="160"/>
      <c r="L675" s="377">
        <f t="shared" si="110"/>
        <v>4.5903</v>
      </c>
      <c r="M675" s="161"/>
      <c r="N675" s="140"/>
      <c r="O675" s="376">
        <f t="shared" si="113"/>
        <v>39.900300000000001</v>
      </c>
      <c r="P675" s="140"/>
    </row>
    <row r="676" spans="2:16">
      <c r="B676" s="139">
        <v>20</v>
      </c>
      <c r="C676" s="374">
        <v>44889</v>
      </c>
      <c r="D676" s="375" t="s">
        <v>579</v>
      </c>
      <c r="E676" s="231" t="s">
        <v>165</v>
      </c>
      <c r="F676" s="139"/>
      <c r="G676" s="169" t="s">
        <v>98</v>
      </c>
      <c r="H676" s="209"/>
      <c r="I676" s="210"/>
      <c r="J676" s="376">
        <v>6.28</v>
      </c>
      <c r="K676" s="160"/>
      <c r="L676" s="377">
        <f t="shared" si="110"/>
        <v>0.81640000000000001</v>
      </c>
      <c r="M676" s="161"/>
      <c r="N676" s="140"/>
      <c r="O676" s="376">
        <f t="shared" si="113"/>
        <v>7.0964</v>
      </c>
      <c r="P676" s="140"/>
    </row>
    <row r="677" spans="2:16">
      <c r="B677" s="139">
        <v>21</v>
      </c>
      <c r="C677" s="374">
        <v>44889</v>
      </c>
      <c r="D677" s="375" t="s">
        <v>580</v>
      </c>
      <c r="E677" s="231" t="s">
        <v>581</v>
      </c>
      <c r="F677" s="139"/>
      <c r="G677" s="169" t="s">
        <v>582</v>
      </c>
      <c r="H677" s="209"/>
      <c r="I677" s="210"/>
      <c r="J677" s="376">
        <v>15.49</v>
      </c>
      <c r="K677" s="160"/>
      <c r="L677" s="377">
        <f t="shared" si="110"/>
        <v>2.0137</v>
      </c>
      <c r="M677" s="161"/>
      <c r="N677" s="140"/>
      <c r="O677" s="376">
        <f>+J677+L677+M677+N677</f>
        <v>17.503700000000002</v>
      </c>
      <c r="P677" s="140"/>
    </row>
    <row r="678" spans="2:16">
      <c r="B678" s="139">
        <v>22</v>
      </c>
      <c r="C678" s="374">
        <v>44890</v>
      </c>
      <c r="D678" s="375" t="s">
        <v>583</v>
      </c>
      <c r="E678" s="231" t="s">
        <v>259</v>
      </c>
      <c r="F678" s="139"/>
      <c r="G678" s="174" t="s">
        <v>260</v>
      </c>
      <c r="H678" s="209"/>
      <c r="I678" s="210"/>
      <c r="J678" s="376">
        <v>1.33</v>
      </c>
      <c r="K678" s="160"/>
      <c r="L678" s="377">
        <f t="shared" si="110"/>
        <v>0.17290000000000003</v>
      </c>
      <c r="M678" s="161"/>
      <c r="N678" s="140"/>
      <c r="O678" s="376">
        <f t="shared" ref="O678:O681" si="114">+J678+L678+M678</f>
        <v>1.5029000000000001</v>
      </c>
      <c r="P678" s="140"/>
    </row>
    <row r="679" spans="2:16">
      <c r="B679" s="139">
        <v>23</v>
      </c>
      <c r="C679" s="374">
        <v>44891</v>
      </c>
      <c r="D679" s="375" t="s">
        <v>584</v>
      </c>
      <c r="E679" s="231" t="s">
        <v>192</v>
      </c>
      <c r="F679" s="139"/>
      <c r="G679" s="174" t="s">
        <v>96</v>
      </c>
      <c r="H679" s="209"/>
      <c r="I679" s="210"/>
      <c r="J679" s="376">
        <v>112.22</v>
      </c>
      <c r="K679" s="160"/>
      <c r="L679" s="377">
        <f t="shared" si="110"/>
        <v>14.5886</v>
      </c>
      <c r="M679" s="161"/>
      <c r="N679" s="140"/>
      <c r="O679" s="376">
        <f t="shared" si="114"/>
        <v>126.8086</v>
      </c>
      <c r="P679" s="140"/>
    </row>
    <row r="680" spans="2:16">
      <c r="B680" s="139">
        <v>24</v>
      </c>
      <c r="C680" s="374">
        <v>44893</v>
      </c>
      <c r="D680" s="375" t="s">
        <v>585</v>
      </c>
      <c r="E680" s="378" t="s">
        <v>175</v>
      </c>
      <c r="F680" s="209"/>
      <c r="G680" s="379" t="s">
        <v>103</v>
      </c>
      <c r="H680" s="209"/>
      <c r="I680" s="210"/>
      <c r="J680" s="380">
        <v>16.41</v>
      </c>
      <c r="K680" s="240"/>
      <c r="L680" s="381">
        <f t="shared" si="110"/>
        <v>2.1333000000000002</v>
      </c>
      <c r="M680" s="161"/>
      <c r="N680" s="140"/>
      <c r="O680" s="376">
        <f t="shared" si="114"/>
        <v>18.543300000000002</v>
      </c>
      <c r="P680" s="140"/>
    </row>
    <row r="681" spans="2:16">
      <c r="B681" s="139">
        <v>25</v>
      </c>
      <c r="C681" s="374">
        <v>44894</v>
      </c>
      <c r="D681" s="375" t="s">
        <v>586</v>
      </c>
      <c r="E681" s="231" t="s">
        <v>165</v>
      </c>
      <c r="F681" s="139"/>
      <c r="G681" s="169" t="s">
        <v>98</v>
      </c>
      <c r="H681" s="209"/>
      <c r="I681" s="210"/>
      <c r="J681" s="376">
        <v>80.569999999999993</v>
      </c>
      <c r="K681" s="160"/>
      <c r="L681" s="377">
        <f t="shared" ref="L681" si="115">J681*13%</f>
        <v>10.4741</v>
      </c>
      <c r="M681" s="161"/>
      <c r="N681" s="140"/>
      <c r="O681" s="376">
        <f t="shared" si="114"/>
        <v>91.044099999999986</v>
      </c>
      <c r="P681" s="140"/>
    </row>
    <row r="682" spans="2:16">
      <c r="B682" s="139">
        <v>26</v>
      </c>
      <c r="C682" s="374">
        <v>44894</v>
      </c>
      <c r="D682" s="375" t="s">
        <v>587</v>
      </c>
      <c r="E682" s="231" t="s">
        <v>165</v>
      </c>
      <c r="F682" s="139"/>
      <c r="G682" s="169" t="s">
        <v>98</v>
      </c>
      <c r="H682" s="209"/>
      <c r="I682" s="210"/>
      <c r="J682" s="376">
        <v>7.35</v>
      </c>
      <c r="K682" s="160"/>
      <c r="L682" s="377">
        <f t="shared" ref="L682" si="116">J682*13%</f>
        <v>0.95550000000000002</v>
      </c>
      <c r="M682" s="161"/>
      <c r="N682" s="140"/>
      <c r="O682" s="376">
        <f t="shared" ref="O682" si="117">+J682+L682+M682</f>
        <v>8.3055000000000003</v>
      </c>
      <c r="P682" s="140"/>
    </row>
    <row r="683" spans="2:16">
      <c r="B683" s="139">
        <v>27</v>
      </c>
      <c r="C683" s="374">
        <v>44894</v>
      </c>
      <c r="D683" s="375" t="s">
        <v>588</v>
      </c>
      <c r="E683" s="231" t="s">
        <v>165</v>
      </c>
      <c r="F683" s="139"/>
      <c r="G683" s="169" t="s">
        <v>98</v>
      </c>
      <c r="H683" s="209"/>
      <c r="I683" s="210"/>
      <c r="J683" s="376">
        <v>38.21</v>
      </c>
      <c r="K683" s="160"/>
      <c r="L683" s="377">
        <f t="shared" ref="L683:L684" si="118">J683*13%</f>
        <v>4.9673000000000007</v>
      </c>
      <c r="M683" s="161"/>
      <c r="N683" s="140"/>
      <c r="O683" s="376">
        <f t="shared" ref="O683:O684" si="119">+J683+L683+M683</f>
        <v>43.177300000000002</v>
      </c>
      <c r="P683" s="140"/>
    </row>
    <row r="684" spans="2:16">
      <c r="B684" s="139">
        <v>28</v>
      </c>
      <c r="C684" s="374">
        <v>44895</v>
      </c>
      <c r="D684" s="383" t="s">
        <v>589</v>
      </c>
      <c r="E684" s="231" t="s">
        <v>223</v>
      </c>
      <c r="F684" s="139"/>
      <c r="G684" s="174" t="s">
        <v>224</v>
      </c>
      <c r="H684" s="139"/>
      <c r="I684" s="140"/>
      <c r="J684" s="384">
        <v>42.48</v>
      </c>
      <c r="K684" s="160"/>
      <c r="L684" s="384">
        <f t="shared" si="118"/>
        <v>5.5224000000000002</v>
      </c>
      <c r="M684" s="161"/>
      <c r="N684" s="140"/>
      <c r="O684" s="363">
        <f t="shared" si="119"/>
        <v>48.002399999999994</v>
      </c>
      <c r="P684" s="140"/>
    </row>
    <row r="685" spans="2:16">
      <c r="B685" s="128"/>
      <c r="C685" s="129"/>
      <c r="D685" s="125"/>
      <c r="E685" s="125"/>
      <c r="F685" s="125"/>
      <c r="G685" s="149" t="s">
        <v>88</v>
      </c>
      <c r="H685" s="130"/>
      <c r="I685" s="130"/>
      <c r="J685" s="230">
        <f>SUM(J657:J684)</f>
        <v>2017.6789999999999</v>
      </c>
      <c r="K685" s="230"/>
      <c r="L685" s="230">
        <f>SUM(L657:L684)</f>
        <v>262.29827</v>
      </c>
      <c r="M685" s="230">
        <f>SUM(M657:M684)</f>
        <v>2.23</v>
      </c>
      <c r="N685" s="230">
        <f>SUM(N657:N683)</f>
        <v>0</v>
      </c>
      <c r="O685" s="230">
        <f>SUM(O657:O684)</f>
        <v>2282.2072699999994</v>
      </c>
      <c r="P685" s="130"/>
    </row>
    <row r="686" spans="2:16">
      <c r="B686" s="310"/>
      <c r="C686" s="311"/>
      <c r="D686" s="312"/>
      <c r="E686" s="312"/>
      <c r="F686" s="312"/>
      <c r="G686" s="47"/>
      <c r="H686" s="313"/>
      <c r="I686" s="313"/>
      <c r="J686" s="314"/>
      <c r="K686" s="314"/>
      <c r="L686" s="314"/>
      <c r="M686" s="314"/>
      <c r="N686" s="314"/>
      <c r="O686" s="314"/>
      <c r="P686" s="313"/>
    </row>
    <row r="687" spans="2:16">
      <c r="B687" s="310"/>
      <c r="C687" s="311"/>
      <c r="D687" s="312"/>
      <c r="E687" s="312"/>
      <c r="F687" s="312"/>
      <c r="G687" s="47"/>
      <c r="H687" s="313"/>
      <c r="I687" s="313"/>
      <c r="J687" s="314"/>
      <c r="K687" s="314"/>
      <c r="L687" s="314"/>
      <c r="M687" s="314"/>
      <c r="N687" s="314"/>
      <c r="O687" s="314"/>
      <c r="P687" s="313"/>
    </row>
    <row r="688" spans="2:16" ht="15.6">
      <c r="B688" s="147" t="s">
        <v>11</v>
      </c>
      <c r="C688" s="147"/>
      <c r="D688" s="147"/>
      <c r="I688" s="213"/>
      <c r="J688" s="329"/>
      <c r="L688" s="329"/>
      <c r="O688" s="103"/>
      <c r="P688" s="103"/>
    </row>
    <row r="689" spans="1:16" ht="17.399999999999999">
      <c r="B689" s="90" t="s">
        <v>84</v>
      </c>
      <c r="C689" s="83"/>
      <c r="D689" s="83"/>
      <c r="I689" s="47"/>
      <c r="J689" s="206"/>
      <c r="L689" s="103"/>
    </row>
    <row r="690" spans="1:16" ht="15.6">
      <c r="B690" s="83" t="s">
        <v>12</v>
      </c>
      <c r="L690" s="103"/>
    </row>
    <row r="700" spans="1:16">
      <c r="A700" t="s">
        <v>590</v>
      </c>
    </row>
    <row r="701" spans="1:16" ht="16.2">
      <c r="B701" s="87" t="s">
        <v>15</v>
      </c>
      <c r="C701" s="79"/>
      <c r="D701" s="148" t="s">
        <v>139</v>
      </c>
      <c r="E701" s="79"/>
      <c r="F701" s="79"/>
      <c r="G701" s="79"/>
      <c r="H701" s="115"/>
      <c r="I701" s="115"/>
      <c r="J701" s="115"/>
      <c r="K701" s="162" t="s">
        <v>80</v>
      </c>
      <c r="L701" s="115"/>
      <c r="M701" s="115"/>
      <c r="N701" s="115"/>
      <c r="O701" s="115"/>
      <c r="P701" s="79"/>
    </row>
    <row r="702" spans="1:16" ht="16.2">
      <c r="B702" s="79" t="s">
        <v>140</v>
      </c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</row>
    <row r="703" spans="1:16" ht="16.8">
      <c r="B703" s="79" t="s">
        <v>16</v>
      </c>
      <c r="C703" s="256" t="s">
        <v>81</v>
      </c>
      <c r="D703" s="88" t="s">
        <v>8</v>
      </c>
      <c r="E703" s="80">
        <v>2022</v>
      </c>
      <c r="F703" s="80"/>
      <c r="G703" s="79"/>
      <c r="H703" s="79"/>
      <c r="I703" s="79"/>
      <c r="J703" s="79"/>
      <c r="K703" s="79"/>
      <c r="L703" s="79"/>
      <c r="M703" s="79"/>
      <c r="N703" s="79"/>
      <c r="O703" s="79"/>
      <c r="P703" s="79"/>
    </row>
    <row r="704" spans="1:16">
      <c r="B704" s="131" t="s">
        <v>17</v>
      </c>
      <c r="C704" s="131" t="s">
        <v>18</v>
      </c>
      <c r="D704" s="131" t="s">
        <v>19</v>
      </c>
      <c r="E704" s="131" t="s">
        <v>19</v>
      </c>
      <c r="F704" s="132" t="s">
        <v>44</v>
      </c>
      <c r="G704" s="133"/>
      <c r="H704" s="134"/>
      <c r="I704" s="135"/>
      <c r="J704" s="134"/>
      <c r="K704" s="135"/>
      <c r="L704" s="136"/>
      <c r="M704" s="135" t="s">
        <v>85</v>
      </c>
      <c r="N704" s="137" t="s">
        <v>56</v>
      </c>
      <c r="O704" s="138" t="s">
        <v>20</v>
      </c>
      <c r="P704" s="132" t="s">
        <v>47</v>
      </c>
    </row>
    <row r="705" spans="2:16">
      <c r="B705" s="139" t="s">
        <v>21</v>
      </c>
      <c r="C705" s="139" t="s">
        <v>22</v>
      </c>
      <c r="D705" s="139" t="s">
        <v>23</v>
      </c>
      <c r="E705" s="139" t="s">
        <v>24</v>
      </c>
      <c r="F705" s="140" t="s">
        <v>45</v>
      </c>
      <c r="G705" s="81" t="s">
        <v>25</v>
      </c>
      <c r="H705" s="211" t="s">
        <v>26</v>
      </c>
      <c r="I705" s="214"/>
      <c r="J705" s="212" t="s">
        <v>27</v>
      </c>
      <c r="K705" s="215"/>
      <c r="L705" s="216"/>
      <c r="M705" s="141" t="s">
        <v>86</v>
      </c>
      <c r="N705" s="142" t="s">
        <v>57</v>
      </c>
      <c r="O705" s="143" t="s">
        <v>28</v>
      </c>
      <c r="P705" s="140" t="s">
        <v>48</v>
      </c>
    </row>
    <row r="706" spans="2:16">
      <c r="B706" s="144"/>
      <c r="C706" s="144"/>
      <c r="D706" s="144"/>
      <c r="E706" s="144"/>
      <c r="F706" s="145" t="s">
        <v>46</v>
      </c>
      <c r="G706" s="146"/>
      <c r="H706" s="144" t="s">
        <v>29</v>
      </c>
      <c r="I706" s="145" t="s">
        <v>30</v>
      </c>
      <c r="J706" s="144" t="s">
        <v>29</v>
      </c>
      <c r="K706" s="145" t="s">
        <v>30</v>
      </c>
      <c r="L706" s="145" t="s">
        <v>31</v>
      </c>
      <c r="M706" s="212" t="s">
        <v>87</v>
      </c>
      <c r="N706" s="211" t="s">
        <v>58</v>
      </c>
      <c r="O706" s="212"/>
      <c r="P706" s="140" t="s">
        <v>49</v>
      </c>
    </row>
    <row r="707" spans="2:16">
      <c r="B707" s="139">
        <v>1</v>
      </c>
      <c r="C707" s="218">
        <v>44893</v>
      </c>
      <c r="D707" s="203" t="s">
        <v>592</v>
      </c>
      <c r="E707" s="284" t="s">
        <v>204</v>
      </c>
      <c r="F707" s="139"/>
      <c r="G707" s="208" t="s">
        <v>609</v>
      </c>
      <c r="H707" s="209"/>
      <c r="I707" s="140"/>
      <c r="J707" s="228">
        <v>16.45</v>
      </c>
      <c r="K707" s="160"/>
      <c r="L707" s="239">
        <f t="shared" ref="L707:L722" si="120">J707*13%</f>
        <v>2.1385000000000001</v>
      </c>
      <c r="M707" s="161">
        <v>1.41</v>
      </c>
      <c r="N707" s="132"/>
      <c r="O707" s="227">
        <f t="shared" ref="O707:O712" si="121">+J707+L707+M707</f>
        <v>19.9985</v>
      </c>
      <c r="P707" s="140"/>
    </row>
    <row r="708" spans="2:16">
      <c r="B708" s="139">
        <v>2</v>
      </c>
      <c r="C708" s="218">
        <v>44896</v>
      </c>
      <c r="D708" s="203" t="s">
        <v>593</v>
      </c>
      <c r="E708" s="178" t="s">
        <v>341</v>
      </c>
      <c r="F708" s="139"/>
      <c r="G708" s="168" t="s">
        <v>610</v>
      </c>
      <c r="H708" s="209"/>
      <c r="I708" s="210"/>
      <c r="J708" s="227">
        <v>13.62</v>
      </c>
      <c r="K708" s="160"/>
      <c r="L708" s="229">
        <f t="shared" si="120"/>
        <v>1.7706</v>
      </c>
      <c r="M708" s="161"/>
      <c r="N708" s="140"/>
      <c r="O708" s="227">
        <f t="shared" si="121"/>
        <v>15.390599999999999</v>
      </c>
      <c r="P708" s="140"/>
    </row>
    <row r="709" spans="2:16">
      <c r="B709" s="139">
        <v>3</v>
      </c>
      <c r="C709" s="218">
        <v>44896</v>
      </c>
      <c r="D709" s="203" t="s">
        <v>611</v>
      </c>
      <c r="E709" s="178" t="s">
        <v>341</v>
      </c>
      <c r="F709" s="139"/>
      <c r="G709" s="168" t="s">
        <v>610</v>
      </c>
      <c r="H709" s="209"/>
      <c r="I709" s="210"/>
      <c r="J709" s="227">
        <v>36.21</v>
      </c>
      <c r="K709" s="160"/>
      <c r="L709" s="229">
        <f t="shared" si="120"/>
        <v>4.7073</v>
      </c>
      <c r="M709" s="161"/>
      <c r="N709" s="140"/>
      <c r="O709" s="227">
        <f t="shared" si="121"/>
        <v>40.917299999999997</v>
      </c>
      <c r="P709" s="140"/>
    </row>
    <row r="710" spans="2:16">
      <c r="B710" s="139">
        <v>4</v>
      </c>
      <c r="C710" s="218">
        <v>44896</v>
      </c>
      <c r="D710" s="203" t="s">
        <v>594</v>
      </c>
      <c r="E710" s="284" t="s">
        <v>595</v>
      </c>
      <c r="F710" s="139"/>
      <c r="G710" s="208" t="s">
        <v>596</v>
      </c>
      <c r="H710" s="209"/>
      <c r="I710" s="210"/>
      <c r="J710" s="228">
        <v>16.45</v>
      </c>
      <c r="K710" s="160"/>
      <c r="L710" s="239">
        <f t="shared" si="120"/>
        <v>2.1385000000000001</v>
      </c>
      <c r="M710" s="161">
        <v>1.41</v>
      </c>
      <c r="N710" s="140"/>
      <c r="O710" s="227">
        <f t="shared" si="121"/>
        <v>19.9985</v>
      </c>
      <c r="P710" s="140"/>
    </row>
    <row r="711" spans="2:16">
      <c r="B711" s="139">
        <v>5</v>
      </c>
      <c r="C711" s="218">
        <v>44898</v>
      </c>
      <c r="D711" s="203" t="s">
        <v>597</v>
      </c>
      <c r="E711" s="178" t="s">
        <v>197</v>
      </c>
      <c r="F711" s="139"/>
      <c r="G711" s="168" t="s">
        <v>90</v>
      </c>
      <c r="H711" s="209"/>
      <c r="I711" s="210"/>
      <c r="J711" s="227">
        <v>630</v>
      </c>
      <c r="K711" s="160"/>
      <c r="L711" s="229">
        <f t="shared" si="120"/>
        <v>81.900000000000006</v>
      </c>
      <c r="M711" s="161"/>
      <c r="N711" s="140"/>
      <c r="O711" s="227">
        <f t="shared" si="121"/>
        <v>711.9</v>
      </c>
      <c r="P711" s="140"/>
    </row>
    <row r="712" spans="2:16">
      <c r="B712" s="139">
        <v>6</v>
      </c>
      <c r="C712" s="218">
        <v>44898</v>
      </c>
      <c r="D712" s="203" t="s">
        <v>591</v>
      </c>
      <c r="E712" s="178" t="s">
        <v>197</v>
      </c>
      <c r="F712" s="209"/>
      <c r="G712" s="168" t="s">
        <v>90</v>
      </c>
      <c r="H712" s="139"/>
      <c r="I712" s="210"/>
      <c r="J712" s="227">
        <v>42.95</v>
      </c>
      <c r="K712" s="240"/>
      <c r="L712" s="229">
        <f t="shared" si="120"/>
        <v>5.5835000000000008</v>
      </c>
      <c r="M712" s="161"/>
      <c r="N712" s="140"/>
      <c r="O712" s="227">
        <f t="shared" si="121"/>
        <v>48.533500000000004</v>
      </c>
      <c r="P712" s="140"/>
    </row>
    <row r="713" spans="2:16">
      <c r="B713" s="139">
        <v>7</v>
      </c>
      <c r="C713" s="218">
        <v>44900</v>
      </c>
      <c r="D713" s="203" t="s">
        <v>598</v>
      </c>
      <c r="E713" s="178" t="s">
        <v>165</v>
      </c>
      <c r="F713" s="139"/>
      <c r="G713" s="168" t="s">
        <v>98</v>
      </c>
      <c r="H713" s="139"/>
      <c r="I713" s="210"/>
      <c r="J713" s="227">
        <v>79.48</v>
      </c>
      <c r="K713" s="160"/>
      <c r="L713" s="229">
        <f t="shared" si="120"/>
        <v>10.332400000000002</v>
      </c>
      <c r="M713" s="161"/>
      <c r="N713" s="140"/>
      <c r="O713" s="227">
        <f>+J713+L713+M713+N713</f>
        <v>89.812400000000011</v>
      </c>
      <c r="P713" s="140"/>
    </row>
    <row r="714" spans="2:16">
      <c r="B714" s="139">
        <v>8</v>
      </c>
      <c r="C714" s="218">
        <v>44900</v>
      </c>
      <c r="D714" s="203" t="s">
        <v>612</v>
      </c>
      <c r="E714" s="178" t="s">
        <v>165</v>
      </c>
      <c r="F714" s="139"/>
      <c r="G714" s="168" t="s">
        <v>98</v>
      </c>
      <c r="H714" s="139"/>
      <c r="I714" s="210"/>
      <c r="J714" s="227">
        <v>85.81</v>
      </c>
      <c r="K714" s="160"/>
      <c r="L714" s="229">
        <f t="shared" ref="L714" si="122">J714*13%</f>
        <v>11.1553</v>
      </c>
      <c r="M714" s="161"/>
      <c r="N714" s="140"/>
      <c r="O714" s="227">
        <f>+J714+L714+M714+N714</f>
        <v>96.965299999999999</v>
      </c>
      <c r="P714" s="140"/>
    </row>
    <row r="715" spans="2:16">
      <c r="B715" s="139">
        <v>9</v>
      </c>
      <c r="C715" s="218">
        <v>44902</v>
      </c>
      <c r="D715" s="203" t="s">
        <v>599</v>
      </c>
      <c r="E715" s="284" t="s">
        <v>200</v>
      </c>
      <c r="F715" s="139"/>
      <c r="G715" s="208" t="s">
        <v>97</v>
      </c>
      <c r="H715" s="139"/>
      <c r="I715" s="210"/>
      <c r="J715" s="228">
        <v>16.399999999999999</v>
      </c>
      <c r="K715" s="160"/>
      <c r="L715" s="239">
        <f t="shared" si="120"/>
        <v>2.1319999999999997</v>
      </c>
      <c r="M715" s="161">
        <v>1.47</v>
      </c>
      <c r="N715" s="140"/>
      <c r="O715" s="227">
        <f t="shared" ref="O715:O722" si="123">+J715+L715+M715</f>
        <v>20.001999999999995</v>
      </c>
      <c r="P715" s="140"/>
    </row>
    <row r="716" spans="2:16">
      <c r="B716" s="139">
        <v>10</v>
      </c>
      <c r="C716" s="218">
        <v>44903</v>
      </c>
      <c r="D716" s="203" t="s">
        <v>600</v>
      </c>
      <c r="E716" s="284" t="s">
        <v>175</v>
      </c>
      <c r="F716" s="139"/>
      <c r="G716" s="208" t="s">
        <v>103</v>
      </c>
      <c r="H716" s="209"/>
      <c r="I716" s="210"/>
      <c r="J716" s="228">
        <v>8.2100000000000009</v>
      </c>
      <c r="K716" s="240"/>
      <c r="L716" s="239">
        <f t="shared" si="120"/>
        <v>1.0673000000000001</v>
      </c>
      <c r="M716" s="161">
        <v>0.72</v>
      </c>
      <c r="N716" s="140"/>
      <c r="O716" s="227">
        <f t="shared" si="123"/>
        <v>9.997300000000001</v>
      </c>
      <c r="P716" s="140"/>
    </row>
    <row r="717" spans="2:16">
      <c r="B717" s="139">
        <v>11</v>
      </c>
      <c r="C717" s="218">
        <v>44903</v>
      </c>
      <c r="D717" s="203" t="s">
        <v>601</v>
      </c>
      <c r="E717" s="178" t="s">
        <v>179</v>
      </c>
      <c r="F717" s="209"/>
      <c r="G717" s="168" t="s">
        <v>100</v>
      </c>
      <c r="H717" s="139"/>
      <c r="I717" s="140"/>
      <c r="J717" s="227">
        <v>66.44</v>
      </c>
      <c r="K717" s="240"/>
      <c r="L717" s="229">
        <f t="shared" si="120"/>
        <v>8.6372</v>
      </c>
      <c r="M717" s="161"/>
      <c r="N717" s="140"/>
      <c r="O717" s="227">
        <f t="shared" si="123"/>
        <v>75.077200000000005</v>
      </c>
      <c r="P717" s="140"/>
    </row>
    <row r="718" spans="2:16">
      <c r="B718" s="139">
        <v>12</v>
      </c>
      <c r="C718" s="218">
        <v>44903</v>
      </c>
      <c r="D718" s="203" t="s">
        <v>602</v>
      </c>
      <c r="E718" s="178" t="s">
        <v>192</v>
      </c>
      <c r="F718" s="139"/>
      <c r="G718" s="173" t="s">
        <v>96</v>
      </c>
      <c r="H718" s="209"/>
      <c r="I718" s="140"/>
      <c r="J718" s="227">
        <v>6.45</v>
      </c>
      <c r="K718" s="160"/>
      <c r="L718" s="229">
        <f t="shared" si="120"/>
        <v>0.83850000000000002</v>
      </c>
      <c r="M718" s="161"/>
      <c r="N718" s="140"/>
      <c r="O718" s="227">
        <f t="shared" si="123"/>
        <v>7.2885</v>
      </c>
      <c r="P718" s="140"/>
    </row>
    <row r="719" spans="2:16">
      <c r="B719" s="139">
        <v>13</v>
      </c>
      <c r="C719" s="218">
        <v>44903</v>
      </c>
      <c r="D719" s="203" t="s">
        <v>613</v>
      </c>
      <c r="E719" s="178" t="s">
        <v>192</v>
      </c>
      <c r="F719" s="209"/>
      <c r="G719" s="173" t="s">
        <v>96</v>
      </c>
      <c r="H719" s="139"/>
      <c r="I719" s="140"/>
      <c r="J719" s="227">
        <v>187.17</v>
      </c>
      <c r="K719" s="240"/>
      <c r="L719" s="229">
        <f t="shared" si="120"/>
        <v>24.332100000000001</v>
      </c>
      <c r="M719" s="161"/>
      <c r="N719" s="140"/>
      <c r="O719" s="227">
        <f t="shared" si="123"/>
        <v>211.50209999999998</v>
      </c>
      <c r="P719" s="140"/>
    </row>
    <row r="720" spans="2:16">
      <c r="B720" s="139">
        <v>14</v>
      </c>
      <c r="C720" s="218">
        <v>44905</v>
      </c>
      <c r="D720" s="203" t="s">
        <v>603</v>
      </c>
      <c r="E720" s="284" t="s">
        <v>175</v>
      </c>
      <c r="F720" s="139"/>
      <c r="G720" s="208" t="s">
        <v>103</v>
      </c>
      <c r="H720" s="209"/>
      <c r="I720" s="140"/>
      <c r="J720" s="228">
        <v>8.2100000000000009</v>
      </c>
      <c r="K720" s="160"/>
      <c r="L720" s="228">
        <f t="shared" si="120"/>
        <v>1.0673000000000001</v>
      </c>
      <c r="M720" s="161">
        <v>0.72</v>
      </c>
      <c r="N720" s="140"/>
      <c r="O720" s="227">
        <f t="shared" si="123"/>
        <v>9.997300000000001</v>
      </c>
      <c r="P720" s="140"/>
    </row>
    <row r="721" spans="2:19">
      <c r="B721" s="139">
        <v>15</v>
      </c>
      <c r="C721" s="218">
        <v>44905</v>
      </c>
      <c r="D721" s="203" t="s">
        <v>604</v>
      </c>
      <c r="E721" s="178" t="s">
        <v>179</v>
      </c>
      <c r="F721" s="139"/>
      <c r="G721" s="173" t="s">
        <v>100</v>
      </c>
      <c r="H721" s="209"/>
      <c r="I721" s="210"/>
      <c r="J721" s="227">
        <v>22.31</v>
      </c>
      <c r="K721" s="160"/>
      <c r="L721" s="229">
        <f t="shared" si="120"/>
        <v>2.9003000000000001</v>
      </c>
      <c r="M721" s="161"/>
      <c r="N721" s="140"/>
      <c r="O721" s="227">
        <f t="shared" si="123"/>
        <v>25.2103</v>
      </c>
      <c r="P721" s="140"/>
    </row>
    <row r="722" spans="2:19">
      <c r="B722" s="139">
        <v>16</v>
      </c>
      <c r="C722" s="218">
        <v>44905</v>
      </c>
      <c r="D722" s="203" t="s">
        <v>605</v>
      </c>
      <c r="E722" s="178" t="s">
        <v>606</v>
      </c>
      <c r="F722" s="139"/>
      <c r="G722" s="173" t="s">
        <v>607</v>
      </c>
      <c r="H722" s="209"/>
      <c r="I722" s="210"/>
      <c r="J722" s="227">
        <v>8.07</v>
      </c>
      <c r="K722" s="160"/>
      <c r="L722" s="229">
        <f t="shared" si="120"/>
        <v>1.0491000000000001</v>
      </c>
      <c r="M722" s="161"/>
      <c r="N722" s="140"/>
      <c r="O722" s="227">
        <f t="shared" si="123"/>
        <v>9.1190999999999995</v>
      </c>
      <c r="P722" s="140"/>
    </row>
    <row r="723" spans="2:19">
      <c r="B723" s="139">
        <v>17</v>
      </c>
      <c r="C723" s="218">
        <v>44907</v>
      </c>
      <c r="D723" s="203" t="s">
        <v>614</v>
      </c>
      <c r="E723" s="178" t="s">
        <v>165</v>
      </c>
      <c r="F723" s="139"/>
      <c r="G723" s="168" t="s">
        <v>98</v>
      </c>
      <c r="H723" s="139"/>
      <c r="I723" s="210"/>
      <c r="J723" s="227">
        <v>47.3</v>
      </c>
      <c r="K723" s="160"/>
      <c r="L723" s="229">
        <f t="shared" ref="L723" si="124">J723*13%</f>
        <v>6.149</v>
      </c>
      <c r="M723" s="161"/>
      <c r="N723" s="140"/>
      <c r="O723" s="227">
        <f>+J723+L723+M723+N723</f>
        <v>53.448999999999998</v>
      </c>
      <c r="P723" s="140"/>
    </row>
    <row r="724" spans="2:19">
      <c r="B724" s="139">
        <v>18</v>
      </c>
      <c r="C724" s="218">
        <v>44907</v>
      </c>
      <c r="D724" s="203" t="s">
        <v>615</v>
      </c>
      <c r="E724" s="178" t="s">
        <v>165</v>
      </c>
      <c r="F724" s="139"/>
      <c r="G724" s="168" t="s">
        <v>98</v>
      </c>
      <c r="H724" s="139"/>
      <c r="I724" s="210"/>
      <c r="J724" s="227">
        <v>79.540000000000006</v>
      </c>
      <c r="K724" s="160"/>
      <c r="L724" s="229">
        <f t="shared" ref="L724:L728" si="125">J724*13%</f>
        <v>10.340200000000001</v>
      </c>
      <c r="M724" s="161"/>
      <c r="N724" s="140"/>
      <c r="O724" s="227">
        <f>+J724+L724+M724+N724</f>
        <v>89.880200000000002</v>
      </c>
      <c r="P724" s="140"/>
    </row>
    <row r="725" spans="2:19">
      <c r="B725" s="139">
        <v>19</v>
      </c>
      <c r="C725" s="218">
        <v>44909</v>
      </c>
      <c r="D725" s="203" t="s">
        <v>616</v>
      </c>
      <c r="E725" s="284" t="s">
        <v>304</v>
      </c>
      <c r="F725" s="209"/>
      <c r="G725" s="208" t="s">
        <v>305</v>
      </c>
      <c r="H725" s="209"/>
      <c r="I725" s="210"/>
      <c r="J725" s="228">
        <v>20.439</v>
      </c>
      <c r="K725" s="240"/>
      <c r="L725" s="239">
        <f t="shared" si="125"/>
        <v>2.65707</v>
      </c>
      <c r="M725" s="161">
        <f>1.27+0.63</f>
        <v>1.9</v>
      </c>
      <c r="N725" s="140"/>
      <c r="O725" s="227">
        <f t="shared" ref="O725" si="126">+J725+L725+M725</f>
        <v>24.99607</v>
      </c>
      <c r="P725" s="140"/>
    </row>
    <row r="726" spans="2:19">
      <c r="B726" s="139">
        <v>20</v>
      </c>
      <c r="C726" s="218">
        <v>44910</v>
      </c>
      <c r="D726" s="203" t="s">
        <v>617</v>
      </c>
      <c r="E726" s="178" t="s">
        <v>618</v>
      </c>
      <c r="F726" s="139"/>
      <c r="G726" s="173" t="s">
        <v>619</v>
      </c>
      <c r="H726" s="209"/>
      <c r="I726" s="210"/>
      <c r="J726" s="229">
        <v>15.43</v>
      </c>
      <c r="K726" s="160"/>
      <c r="L726" s="229">
        <f t="shared" si="125"/>
        <v>2.0059</v>
      </c>
      <c r="M726" s="161"/>
      <c r="N726" s="140"/>
      <c r="O726" s="227">
        <f>+J726+L726+M726+N726</f>
        <v>17.4359</v>
      </c>
      <c r="P726" s="140"/>
    </row>
    <row r="727" spans="2:19">
      <c r="B727" s="139">
        <v>21</v>
      </c>
      <c r="C727" s="218">
        <v>44910</v>
      </c>
      <c r="D727" s="203" t="s">
        <v>620</v>
      </c>
      <c r="E727" s="284" t="s">
        <v>175</v>
      </c>
      <c r="F727" s="139"/>
      <c r="G727" s="208" t="s">
        <v>103</v>
      </c>
      <c r="H727" s="209"/>
      <c r="I727" s="140"/>
      <c r="J727" s="228">
        <v>16.39</v>
      </c>
      <c r="K727" s="160"/>
      <c r="L727" s="228">
        <f t="shared" si="125"/>
        <v>2.1307</v>
      </c>
      <c r="M727" s="161">
        <f>0.99+0.49</f>
        <v>1.48</v>
      </c>
      <c r="N727" s="140"/>
      <c r="O727" s="227">
        <f t="shared" ref="O727:O728" si="127">+J727+L727+M727</f>
        <v>20.000700000000002</v>
      </c>
      <c r="P727" s="140"/>
    </row>
    <row r="728" spans="2:19">
      <c r="B728" s="139">
        <v>22</v>
      </c>
      <c r="C728" s="218">
        <v>44911</v>
      </c>
      <c r="D728" s="203" t="s">
        <v>621</v>
      </c>
      <c r="E728" s="178" t="s">
        <v>179</v>
      </c>
      <c r="F728" s="209"/>
      <c r="G728" s="168" t="s">
        <v>100</v>
      </c>
      <c r="H728" s="139"/>
      <c r="I728" s="140"/>
      <c r="J728" s="227">
        <v>10.66</v>
      </c>
      <c r="K728" s="240"/>
      <c r="L728" s="229">
        <f t="shared" si="125"/>
        <v>1.3858000000000001</v>
      </c>
      <c r="M728" s="161"/>
      <c r="N728" s="140"/>
      <c r="O728" s="227">
        <f t="shared" si="127"/>
        <v>12.0458</v>
      </c>
      <c r="P728" s="140"/>
    </row>
    <row r="729" spans="2:19">
      <c r="B729" s="139">
        <v>23</v>
      </c>
      <c r="C729" s="218">
        <v>44911</v>
      </c>
      <c r="D729" s="203" t="s">
        <v>622</v>
      </c>
      <c r="E729" s="178" t="s">
        <v>179</v>
      </c>
      <c r="F729" s="209"/>
      <c r="G729" s="168" t="s">
        <v>100</v>
      </c>
      <c r="H729" s="139"/>
      <c r="I729" s="140"/>
      <c r="J729" s="227">
        <v>85.58</v>
      </c>
      <c r="K729" s="240"/>
      <c r="L729" s="229">
        <f t="shared" ref="L729" si="128">J729*13%</f>
        <v>11.125400000000001</v>
      </c>
      <c r="M729" s="161"/>
      <c r="N729" s="140"/>
      <c r="O729" s="227">
        <f t="shared" ref="O729" si="129">+J729+L729+M729</f>
        <v>96.705399999999997</v>
      </c>
      <c r="P729" s="140"/>
    </row>
    <row r="730" spans="2:19">
      <c r="B730" s="139">
        <v>24</v>
      </c>
      <c r="C730" s="218">
        <v>44915</v>
      </c>
      <c r="D730" s="203" t="s">
        <v>623</v>
      </c>
      <c r="E730" s="178" t="s">
        <v>179</v>
      </c>
      <c r="F730" s="209"/>
      <c r="G730" s="168" t="s">
        <v>100</v>
      </c>
      <c r="H730" s="139"/>
      <c r="I730" s="140"/>
      <c r="J730" s="227">
        <v>28.22</v>
      </c>
      <c r="K730" s="240"/>
      <c r="L730" s="229">
        <f t="shared" ref="L730:L735" si="130">J730*13%</f>
        <v>3.6686000000000001</v>
      </c>
      <c r="M730" s="161"/>
      <c r="N730" s="140"/>
      <c r="O730" s="227">
        <f t="shared" ref="O730" si="131">+J730+L730+M730</f>
        <v>31.8886</v>
      </c>
      <c r="P730" s="140"/>
    </row>
    <row r="731" spans="2:19">
      <c r="B731" s="139">
        <v>25</v>
      </c>
      <c r="C731" s="218">
        <v>44915</v>
      </c>
      <c r="D731" s="203" t="s">
        <v>624</v>
      </c>
      <c r="E731" s="178" t="s">
        <v>165</v>
      </c>
      <c r="F731" s="139"/>
      <c r="G731" s="168" t="s">
        <v>98</v>
      </c>
      <c r="H731" s="139"/>
      <c r="I731" s="140"/>
      <c r="J731" s="227">
        <v>71.599999999999994</v>
      </c>
      <c r="K731" s="240"/>
      <c r="L731" s="229">
        <f t="shared" ref="L731" si="132">J731*13%</f>
        <v>9.3079999999999998</v>
      </c>
      <c r="M731" s="161"/>
      <c r="N731" s="140"/>
      <c r="O731" s="227">
        <f t="shared" ref="O731" si="133">+J731+L731+M731</f>
        <v>80.907999999999987</v>
      </c>
      <c r="P731" s="140"/>
    </row>
    <row r="732" spans="2:19">
      <c r="B732" s="139">
        <v>26</v>
      </c>
      <c r="C732" s="218">
        <v>44915</v>
      </c>
      <c r="D732" s="203" t="s">
        <v>640</v>
      </c>
      <c r="E732" s="178" t="s">
        <v>165</v>
      </c>
      <c r="F732" s="139"/>
      <c r="G732" s="168" t="s">
        <v>98</v>
      </c>
      <c r="H732" s="139"/>
      <c r="I732" s="210"/>
      <c r="J732" s="227">
        <v>121.35</v>
      </c>
      <c r="K732" s="160"/>
      <c r="L732" s="229">
        <f t="shared" si="130"/>
        <v>15.775499999999999</v>
      </c>
      <c r="M732" s="161"/>
      <c r="N732" s="140">
        <v>1.21</v>
      </c>
      <c r="O732" s="227">
        <f>+J732+L732+M732+N732</f>
        <v>138.3355</v>
      </c>
      <c r="P732" s="140"/>
    </row>
    <row r="733" spans="2:19">
      <c r="B733" s="139">
        <v>27</v>
      </c>
      <c r="C733" s="218">
        <v>44917</v>
      </c>
      <c r="D733" s="203" t="s">
        <v>625</v>
      </c>
      <c r="E733" s="178" t="s">
        <v>246</v>
      </c>
      <c r="F733" s="139"/>
      <c r="G733" s="173" t="s">
        <v>330</v>
      </c>
      <c r="H733" s="139"/>
      <c r="I733" s="210"/>
      <c r="J733" s="229">
        <v>4.2</v>
      </c>
      <c r="K733" s="160"/>
      <c r="L733" s="229">
        <f t="shared" si="130"/>
        <v>0.54600000000000004</v>
      </c>
      <c r="M733" s="161"/>
      <c r="N733" s="140"/>
      <c r="O733" s="227">
        <f t="shared" ref="O733:O739" si="134">+J733+L733+M733+N733</f>
        <v>4.7460000000000004</v>
      </c>
      <c r="P733" s="140"/>
    </row>
    <row r="734" spans="2:19">
      <c r="B734" s="139">
        <v>28</v>
      </c>
      <c r="C734" s="218">
        <v>44917</v>
      </c>
      <c r="D734" s="203" t="s">
        <v>626</v>
      </c>
      <c r="E734" s="284" t="s">
        <v>175</v>
      </c>
      <c r="F734" s="139"/>
      <c r="G734" s="208" t="s">
        <v>103</v>
      </c>
      <c r="H734" s="139"/>
      <c r="I734" s="210"/>
      <c r="J734" s="228">
        <v>8.18</v>
      </c>
      <c r="K734" s="240"/>
      <c r="L734" s="239">
        <f t="shared" si="130"/>
        <v>1.0633999999999999</v>
      </c>
      <c r="M734" s="161">
        <f>0.51+0.25</f>
        <v>0.76</v>
      </c>
      <c r="N734" s="140"/>
      <c r="O734" s="227">
        <f t="shared" si="134"/>
        <v>10.003399999999999</v>
      </c>
      <c r="P734" s="140"/>
    </row>
    <row r="735" spans="2:19">
      <c r="B735" s="139">
        <v>29</v>
      </c>
      <c r="C735" s="218">
        <v>44917</v>
      </c>
      <c r="D735" s="203" t="s">
        <v>627</v>
      </c>
      <c r="E735" s="178" t="s">
        <v>165</v>
      </c>
      <c r="F735" s="139"/>
      <c r="G735" s="168" t="s">
        <v>98</v>
      </c>
      <c r="H735" s="139"/>
      <c r="I735" s="210"/>
      <c r="J735" s="229">
        <v>46.47</v>
      </c>
      <c r="K735" s="160"/>
      <c r="L735" s="229">
        <f t="shared" si="130"/>
        <v>6.0411000000000001</v>
      </c>
      <c r="M735" s="161"/>
      <c r="N735" s="140"/>
      <c r="O735" s="227">
        <f t="shared" si="134"/>
        <v>52.511099999999999</v>
      </c>
      <c r="P735" s="239"/>
      <c r="Q735" s="161"/>
      <c r="R735" s="239"/>
      <c r="S735" s="239"/>
    </row>
    <row r="736" spans="2:19">
      <c r="B736" s="139">
        <v>30</v>
      </c>
      <c r="C736" s="218">
        <v>44918</v>
      </c>
      <c r="D736" s="203" t="s">
        <v>628</v>
      </c>
      <c r="E736" s="178" t="s">
        <v>179</v>
      </c>
      <c r="F736" s="209"/>
      <c r="G736" s="168" t="s">
        <v>100</v>
      </c>
      <c r="H736" s="139"/>
      <c r="I736" s="140"/>
      <c r="J736" s="227">
        <v>56.3</v>
      </c>
      <c r="K736" s="240"/>
      <c r="L736" s="229">
        <f t="shared" ref="L736" si="135">J736*13%</f>
        <v>7.319</v>
      </c>
      <c r="M736" s="161"/>
      <c r="N736" s="140"/>
      <c r="O736" s="227">
        <f t="shared" ref="O736" si="136">+J736+L736+M736</f>
        <v>63.619</v>
      </c>
      <c r="P736" s="140"/>
    </row>
    <row r="737" spans="2:18">
      <c r="B737" s="139">
        <v>31</v>
      </c>
      <c r="C737" s="218">
        <v>44918</v>
      </c>
      <c r="D737" s="203" t="s">
        <v>629</v>
      </c>
      <c r="E737" s="178" t="s">
        <v>179</v>
      </c>
      <c r="F737" s="209"/>
      <c r="G737" s="168" t="s">
        <v>100</v>
      </c>
      <c r="H737" s="139"/>
      <c r="I737" s="140"/>
      <c r="J737" s="227">
        <v>25.64</v>
      </c>
      <c r="K737" s="240"/>
      <c r="L737" s="229">
        <f t="shared" ref="L737" si="137">J737*13%</f>
        <v>3.3332000000000002</v>
      </c>
      <c r="M737" s="161"/>
      <c r="N737" s="140"/>
      <c r="O737" s="227">
        <f t="shared" ref="O737" si="138">+J737+L737+M737</f>
        <v>28.973200000000002</v>
      </c>
      <c r="P737" s="140"/>
    </row>
    <row r="738" spans="2:18">
      <c r="B738" s="139">
        <v>32</v>
      </c>
      <c r="C738" s="218">
        <v>44918</v>
      </c>
      <c r="D738" s="203" t="s">
        <v>630</v>
      </c>
      <c r="E738" s="178" t="s">
        <v>179</v>
      </c>
      <c r="F738" s="209"/>
      <c r="G738" s="168" t="s">
        <v>100</v>
      </c>
      <c r="H738" s="139"/>
      <c r="I738" s="140"/>
      <c r="J738" s="227">
        <v>44.74</v>
      </c>
      <c r="K738" s="240"/>
      <c r="L738" s="229">
        <f t="shared" ref="L738:L740" si="139">J738*13%</f>
        <v>5.8162000000000003</v>
      </c>
      <c r="M738" s="161"/>
      <c r="N738" s="140"/>
      <c r="O738" s="227">
        <f t="shared" ref="O738" si="140">+J738+L738+M738</f>
        <v>50.556200000000004</v>
      </c>
      <c r="P738" s="140"/>
    </row>
    <row r="739" spans="2:18">
      <c r="B739" s="139">
        <v>33</v>
      </c>
      <c r="C739" s="218">
        <v>44919</v>
      </c>
      <c r="D739" s="203" t="s">
        <v>631</v>
      </c>
      <c r="E739" s="284" t="s">
        <v>158</v>
      </c>
      <c r="F739" s="209"/>
      <c r="G739" s="208" t="s">
        <v>159</v>
      </c>
      <c r="H739" s="209"/>
      <c r="I739" s="210"/>
      <c r="J739" s="228">
        <v>20.43</v>
      </c>
      <c r="K739" s="240"/>
      <c r="L739" s="239">
        <f t="shared" si="139"/>
        <v>2.6558999999999999</v>
      </c>
      <c r="M739" s="161">
        <v>1.92</v>
      </c>
      <c r="N739" s="140"/>
      <c r="O739" s="227">
        <f t="shared" si="134"/>
        <v>25.005899999999997</v>
      </c>
      <c r="P739" s="239"/>
    </row>
    <row r="740" spans="2:18">
      <c r="B740" s="139">
        <v>34</v>
      </c>
      <c r="C740" s="218">
        <v>44921</v>
      </c>
      <c r="D740" s="203" t="s">
        <v>632</v>
      </c>
      <c r="E740" s="178" t="s">
        <v>192</v>
      </c>
      <c r="F740" s="209"/>
      <c r="G740" s="173" t="s">
        <v>96</v>
      </c>
      <c r="H740" s="139"/>
      <c r="I740" s="140"/>
      <c r="J740" s="227">
        <v>69.819999999999993</v>
      </c>
      <c r="K740" s="240"/>
      <c r="L740" s="229">
        <f t="shared" si="139"/>
        <v>9.0765999999999991</v>
      </c>
      <c r="M740" s="161"/>
      <c r="N740" s="140"/>
      <c r="O740" s="227">
        <f t="shared" ref="O740" si="141">+J740+L740+M740</f>
        <v>78.896599999999992</v>
      </c>
      <c r="P740" s="140"/>
    </row>
    <row r="741" spans="2:18">
      <c r="B741" s="139">
        <v>35</v>
      </c>
      <c r="C741" s="218">
        <v>44921</v>
      </c>
      <c r="D741" s="203" t="s">
        <v>633</v>
      </c>
      <c r="E741" s="178" t="s">
        <v>192</v>
      </c>
      <c r="F741" s="209"/>
      <c r="G741" s="173" t="s">
        <v>96</v>
      </c>
      <c r="H741" s="139"/>
      <c r="I741" s="140"/>
      <c r="J741" s="227">
        <v>11.5</v>
      </c>
      <c r="K741" s="240"/>
      <c r="L741" s="229">
        <f t="shared" ref="L741:L742" si="142">J741*13%</f>
        <v>1.4950000000000001</v>
      </c>
      <c r="M741" s="161"/>
      <c r="N741" s="140"/>
      <c r="O741" s="227">
        <f t="shared" ref="O741:O742" si="143">+J741+L741+M741</f>
        <v>12.995000000000001</v>
      </c>
      <c r="P741" s="140"/>
    </row>
    <row r="742" spans="2:18">
      <c r="B742" s="139">
        <v>36</v>
      </c>
      <c r="C742" s="218">
        <v>44922</v>
      </c>
      <c r="D742" s="203" t="s">
        <v>634</v>
      </c>
      <c r="E742" s="178" t="s">
        <v>165</v>
      </c>
      <c r="F742" s="139"/>
      <c r="G742" s="168" t="s">
        <v>98</v>
      </c>
      <c r="H742" s="139"/>
      <c r="I742" s="140"/>
      <c r="J742" s="229">
        <v>45.64</v>
      </c>
      <c r="K742" s="240"/>
      <c r="L742" s="229">
        <f t="shared" si="142"/>
        <v>5.9332000000000003</v>
      </c>
      <c r="M742" s="161"/>
      <c r="N742" s="140"/>
      <c r="O742" s="227">
        <f t="shared" si="143"/>
        <v>51.5732</v>
      </c>
      <c r="P742" s="140"/>
    </row>
    <row r="743" spans="2:18">
      <c r="B743" s="139">
        <v>37</v>
      </c>
      <c r="C743" s="218">
        <v>44922</v>
      </c>
      <c r="D743" s="203" t="s">
        <v>635</v>
      </c>
      <c r="E743" s="178" t="s">
        <v>165</v>
      </c>
      <c r="F743" s="139"/>
      <c r="G743" s="168" t="s">
        <v>98</v>
      </c>
      <c r="H743" s="139"/>
      <c r="I743" s="140"/>
      <c r="J743" s="229">
        <v>63</v>
      </c>
      <c r="K743" s="240"/>
      <c r="L743" s="229">
        <f t="shared" ref="L743:L748" si="144">J743*13%</f>
        <v>8.19</v>
      </c>
      <c r="M743" s="161"/>
      <c r="N743" s="140"/>
      <c r="O743" s="227">
        <f t="shared" ref="O743:O745" si="145">+J743+L743+M743</f>
        <v>71.19</v>
      </c>
      <c r="P743" s="140"/>
    </row>
    <row r="744" spans="2:18">
      <c r="B744" s="139">
        <v>38</v>
      </c>
      <c r="C744" s="218">
        <v>44922</v>
      </c>
      <c r="D744" s="203" t="s">
        <v>636</v>
      </c>
      <c r="E744" s="178" t="s">
        <v>341</v>
      </c>
      <c r="F744" s="139"/>
      <c r="G744" s="168" t="s">
        <v>610</v>
      </c>
      <c r="H744" s="139"/>
      <c r="I744" s="140"/>
      <c r="J744" s="229">
        <v>37.590000000000003</v>
      </c>
      <c r="K744" s="240"/>
      <c r="L744" s="229">
        <f t="shared" si="144"/>
        <v>4.8867000000000003</v>
      </c>
      <c r="M744" s="161"/>
      <c r="N744" s="140"/>
      <c r="O744" s="227">
        <f t="shared" si="145"/>
        <v>42.476700000000001</v>
      </c>
      <c r="P744" s="140"/>
      <c r="R744">
        <f>42.57/1.13</f>
        <v>37.67256637168142</v>
      </c>
    </row>
    <row r="745" spans="2:18">
      <c r="B745" s="139">
        <v>39</v>
      </c>
      <c r="C745" s="218">
        <v>44923</v>
      </c>
      <c r="D745" s="203" t="s">
        <v>637</v>
      </c>
      <c r="E745" s="178" t="s">
        <v>179</v>
      </c>
      <c r="F745" s="209"/>
      <c r="G745" s="168" t="s">
        <v>100</v>
      </c>
      <c r="H745" s="139"/>
      <c r="I745" s="140"/>
      <c r="J745" s="227">
        <v>58.53</v>
      </c>
      <c r="K745" s="240"/>
      <c r="L745" s="229">
        <f t="shared" si="144"/>
        <v>7.6089000000000002</v>
      </c>
      <c r="M745" s="161"/>
      <c r="N745" s="140"/>
      <c r="O745" s="227">
        <f t="shared" si="145"/>
        <v>66.138900000000007</v>
      </c>
      <c r="P745" s="140"/>
    </row>
    <row r="746" spans="2:18">
      <c r="B746" s="139">
        <v>40</v>
      </c>
      <c r="C746" s="218">
        <v>44924</v>
      </c>
      <c r="D746" s="203" t="s">
        <v>638</v>
      </c>
      <c r="E746" s="284" t="s">
        <v>204</v>
      </c>
      <c r="F746" s="139"/>
      <c r="G746" s="208" t="s">
        <v>609</v>
      </c>
      <c r="H746" s="139"/>
      <c r="I746" s="140"/>
      <c r="J746" s="228">
        <v>8.19</v>
      </c>
      <c r="K746" s="240"/>
      <c r="L746" s="239">
        <f t="shared" si="144"/>
        <v>1.0647</v>
      </c>
      <c r="M746" s="161">
        <v>0.75</v>
      </c>
      <c r="N746" s="140"/>
      <c r="O746" s="227">
        <f t="shared" ref="O746:O747" si="146">+J746+L746+M746+N746</f>
        <v>10.0047</v>
      </c>
      <c r="P746" s="140"/>
    </row>
    <row r="747" spans="2:18">
      <c r="B747" s="139">
        <v>41</v>
      </c>
      <c r="C747" s="218">
        <v>44926</v>
      </c>
      <c r="D747" s="203" t="s">
        <v>639</v>
      </c>
      <c r="E747" s="284" t="s">
        <v>175</v>
      </c>
      <c r="F747" s="139"/>
      <c r="G747" s="208" t="s">
        <v>103</v>
      </c>
      <c r="H747" s="139"/>
      <c r="I747" s="210"/>
      <c r="J747" s="228">
        <v>8.16</v>
      </c>
      <c r="K747" s="240"/>
      <c r="L747" s="239">
        <f t="shared" si="144"/>
        <v>1.0608</v>
      </c>
      <c r="M747" s="161">
        <f>0.53+0.25</f>
        <v>0.78</v>
      </c>
      <c r="N747" s="140"/>
      <c r="O747" s="227">
        <f t="shared" si="146"/>
        <v>10.0008</v>
      </c>
      <c r="P747" s="140"/>
    </row>
    <row r="748" spans="2:18">
      <c r="B748" s="139">
        <v>42</v>
      </c>
      <c r="C748" s="218">
        <v>44836</v>
      </c>
      <c r="D748" s="203" t="s">
        <v>641</v>
      </c>
      <c r="E748" s="301" t="s">
        <v>656</v>
      </c>
      <c r="F748" s="302"/>
      <c r="G748" s="303" t="s">
        <v>411</v>
      </c>
      <c r="H748" s="302"/>
      <c r="I748" s="210"/>
      <c r="J748" s="229">
        <v>0.5</v>
      </c>
      <c r="K748" s="160"/>
      <c r="L748" s="229">
        <f t="shared" si="144"/>
        <v>6.5000000000000002E-2</v>
      </c>
      <c r="M748" s="161"/>
      <c r="N748" s="140"/>
      <c r="O748" s="229">
        <f t="shared" ref="O748" si="147">+J748+L748+M748</f>
        <v>0.56499999999999995</v>
      </c>
      <c r="P748" s="140"/>
    </row>
    <row r="749" spans="2:18">
      <c r="B749" s="139">
        <v>43</v>
      </c>
      <c r="C749" s="218">
        <v>44838</v>
      </c>
      <c r="D749" s="203" t="s">
        <v>642</v>
      </c>
      <c r="E749" s="301" t="s">
        <v>656</v>
      </c>
      <c r="F749" s="302"/>
      <c r="G749" s="303" t="s">
        <v>411</v>
      </c>
      <c r="H749" s="302"/>
      <c r="I749" s="210"/>
      <c r="J749" s="229">
        <v>15</v>
      </c>
      <c r="K749" s="160"/>
      <c r="L749" s="229">
        <f t="shared" ref="L749" si="148">J749*13%</f>
        <v>1.9500000000000002</v>
      </c>
      <c r="M749" s="161"/>
      <c r="N749" s="140"/>
      <c r="O749" s="229">
        <f t="shared" ref="O749" si="149">+J749+L749+M749</f>
        <v>16.95</v>
      </c>
      <c r="P749" s="140"/>
    </row>
    <row r="750" spans="2:18">
      <c r="B750" s="139">
        <v>44</v>
      </c>
      <c r="C750" s="218">
        <v>44842</v>
      </c>
      <c r="D750" s="203" t="s">
        <v>643</v>
      </c>
      <c r="E750" s="301" t="s">
        <v>656</v>
      </c>
      <c r="F750" s="302"/>
      <c r="G750" s="303" t="s">
        <v>411</v>
      </c>
      <c r="H750" s="302"/>
      <c r="I750" s="210"/>
      <c r="J750" s="229">
        <v>0.32</v>
      </c>
      <c r="K750" s="160"/>
      <c r="L750" s="229">
        <f t="shared" ref="L750" si="150">J750*13%</f>
        <v>4.1600000000000005E-2</v>
      </c>
      <c r="M750" s="161"/>
      <c r="N750" s="140"/>
      <c r="O750" s="229">
        <f t="shared" ref="O750" si="151">+J750+L750+M750</f>
        <v>0.36160000000000003</v>
      </c>
      <c r="P750" s="140"/>
    </row>
    <row r="751" spans="2:18">
      <c r="B751" s="139">
        <v>45</v>
      </c>
      <c r="C751" s="218">
        <v>44842</v>
      </c>
      <c r="D751" s="203" t="s">
        <v>644</v>
      </c>
      <c r="E751" s="301" t="s">
        <v>656</v>
      </c>
      <c r="F751" s="302"/>
      <c r="G751" s="303" t="s">
        <v>411</v>
      </c>
      <c r="H751" s="302"/>
      <c r="I751" s="210"/>
      <c r="J751" s="229">
        <v>0.08</v>
      </c>
      <c r="K751" s="160"/>
      <c r="L751" s="229">
        <f t="shared" ref="L751" si="152">J751*13%</f>
        <v>1.0400000000000001E-2</v>
      </c>
      <c r="M751" s="161"/>
      <c r="N751" s="140"/>
      <c r="O751" s="229">
        <f t="shared" ref="O751" si="153">+J751+L751+M751</f>
        <v>9.0400000000000008E-2</v>
      </c>
      <c r="P751" s="140"/>
    </row>
    <row r="752" spans="2:18">
      <c r="B752" s="139">
        <v>46</v>
      </c>
      <c r="C752" s="218">
        <v>44854</v>
      </c>
      <c r="D752" s="203" t="s">
        <v>646</v>
      </c>
      <c r="E752" s="301" t="s">
        <v>656</v>
      </c>
      <c r="F752" s="302"/>
      <c r="G752" s="303" t="s">
        <v>411</v>
      </c>
      <c r="H752" s="302"/>
      <c r="I752" s="210"/>
      <c r="J752" s="229">
        <v>0.17</v>
      </c>
      <c r="K752" s="160"/>
      <c r="L752" s="229">
        <f t="shared" ref="L752" si="154">J752*13%</f>
        <v>2.2100000000000002E-2</v>
      </c>
      <c r="M752" s="161"/>
      <c r="N752" s="140"/>
      <c r="O752" s="229">
        <f t="shared" ref="O752" si="155">+J752+L752+M752</f>
        <v>0.19210000000000002</v>
      </c>
      <c r="P752" s="140"/>
    </row>
    <row r="753" spans="2:16">
      <c r="B753" s="139">
        <v>47</v>
      </c>
      <c r="C753" s="218">
        <v>44857</v>
      </c>
      <c r="D753" s="203" t="s">
        <v>647</v>
      </c>
      <c r="E753" s="301" t="s">
        <v>656</v>
      </c>
      <c r="F753" s="302"/>
      <c r="G753" s="303" t="s">
        <v>411</v>
      </c>
      <c r="H753" s="302"/>
      <c r="I753" s="210"/>
      <c r="J753" s="229">
        <v>0.08</v>
      </c>
      <c r="K753" s="160"/>
      <c r="L753" s="229">
        <f t="shared" ref="L753" si="156">J753*13%</f>
        <v>1.0400000000000001E-2</v>
      </c>
      <c r="M753" s="161"/>
      <c r="N753" s="140"/>
      <c r="O753" s="229">
        <f t="shared" ref="O753" si="157">+J753+L753+M753</f>
        <v>9.0400000000000008E-2</v>
      </c>
      <c r="P753" s="140"/>
    </row>
    <row r="754" spans="2:16">
      <c r="B754" s="139">
        <v>48</v>
      </c>
      <c r="C754" s="218">
        <v>44864</v>
      </c>
      <c r="D754" s="203" t="s">
        <v>648</v>
      </c>
      <c r="E754" s="301" t="s">
        <v>656</v>
      </c>
      <c r="F754" s="302"/>
      <c r="G754" s="303" t="s">
        <v>411</v>
      </c>
      <c r="H754" s="302"/>
      <c r="I754" s="210"/>
      <c r="J754" s="229">
        <v>0.65</v>
      </c>
      <c r="K754" s="160"/>
      <c r="L754" s="229">
        <f t="shared" ref="L754" si="158">J754*13%</f>
        <v>8.4500000000000006E-2</v>
      </c>
      <c r="M754" s="161"/>
      <c r="N754" s="140"/>
      <c r="O754" s="229">
        <f t="shared" ref="O754" si="159">+J754+L754+M754</f>
        <v>0.73450000000000004</v>
      </c>
      <c r="P754" s="140"/>
    </row>
    <row r="755" spans="2:16">
      <c r="B755" s="139">
        <v>49</v>
      </c>
      <c r="C755" s="218">
        <v>44866</v>
      </c>
      <c r="D755" s="203" t="s">
        <v>655</v>
      </c>
      <c r="E755" s="301" t="s">
        <v>656</v>
      </c>
      <c r="F755" s="302"/>
      <c r="G755" s="303" t="s">
        <v>411</v>
      </c>
      <c r="H755" s="302"/>
      <c r="I755" s="210"/>
      <c r="J755" s="229">
        <v>0.05</v>
      </c>
      <c r="K755" s="160"/>
      <c r="L755" s="229">
        <f t="shared" ref="L755" si="160">J755*13%</f>
        <v>6.5000000000000006E-3</v>
      </c>
      <c r="M755" s="161"/>
      <c r="N755" s="140"/>
      <c r="O755" s="229">
        <f t="shared" ref="O755" si="161">+J755+L755+M755</f>
        <v>5.6500000000000002E-2</v>
      </c>
      <c r="P755" s="140"/>
    </row>
    <row r="756" spans="2:16">
      <c r="B756" s="139">
        <v>50</v>
      </c>
      <c r="C756" s="218">
        <v>44869</v>
      </c>
      <c r="D756" s="203" t="s">
        <v>645</v>
      </c>
      <c r="E756" s="301" t="s">
        <v>656</v>
      </c>
      <c r="F756" s="302"/>
      <c r="G756" s="303" t="s">
        <v>411</v>
      </c>
      <c r="H756" s="302"/>
      <c r="I756" s="210"/>
      <c r="J756" s="229">
        <v>15</v>
      </c>
      <c r="K756" s="160"/>
      <c r="L756" s="229">
        <f t="shared" ref="L756" si="162">J756*13%</f>
        <v>1.9500000000000002</v>
      </c>
      <c r="M756" s="161"/>
      <c r="N756" s="140"/>
      <c r="O756" s="229">
        <f t="shared" ref="O756" si="163">+J756+L756+M756</f>
        <v>16.95</v>
      </c>
      <c r="P756" s="140"/>
    </row>
    <row r="757" spans="2:16">
      <c r="B757" s="139">
        <v>51</v>
      </c>
      <c r="C757" s="218">
        <v>44870</v>
      </c>
      <c r="D757" s="203" t="s">
        <v>649</v>
      </c>
      <c r="E757" s="301" t="s">
        <v>656</v>
      </c>
      <c r="F757" s="302"/>
      <c r="G757" s="303" t="s">
        <v>411</v>
      </c>
      <c r="H757" s="302"/>
      <c r="I757" s="210"/>
      <c r="J757" s="229">
        <v>0.19</v>
      </c>
      <c r="K757" s="160"/>
      <c r="L757" s="229">
        <f t="shared" ref="L757" si="164">J757*13%</f>
        <v>2.47E-2</v>
      </c>
      <c r="M757" s="161"/>
      <c r="N757" s="140"/>
      <c r="O757" s="229">
        <f t="shared" ref="O757" si="165">+J757+L757+M757</f>
        <v>0.2147</v>
      </c>
      <c r="P757" s="140"/>
    </row>
    <row r="758" spans="2:16">
      <c r="B758" s="139">
        <v>52</v>
      </c>
      <c r="C758" s="218">
        <v>44889</v>
      </c>
      <c r="D758" s="203" t="s">
        <v>650</v>
      </c>
      <c r="E758" s="301" t="s">
        <v>656</v>
      </c>
      <c r="F758" s="302"/>
      <c r="G758" s="303" t="s">
        <v>411</v>
      </c>
      <c r="H758" s="302"/>
      <c r="I758" s="210"/>
      <c r="J758" s="229">
        <v>0.11</v>
      </c>
      <c r="K758" s="160"/>
      <c r="L758" s="229">
        <f t="shared" ref="L758" si="166">J758*13%</f>
        <v>1.43E-2</v>
      </c>
      <c r="M758" s="161"/>
      <c r="N758" s="140"/>
      <c r="O758" s="229">
        <f t="shared" ref="O758" si="167">+J758+L758+M758</f>
        <v>0.12429999999999999</v>
      </c>
      <c r="P758" s="140"/>
    </row>
    <row r="759" spans="2:16">
      <c r="B759" s="139">
        <v>53</v>
      </c>
      <c r="C759" s="218">
        <v>44894</v>
      </c>
      <c r="D759" s="203" t="s">
        <v>651</v>
      </c>
      <c r="E759" s="301" t="s">
        <v>656</v>
      </c>
      <c r="F759" s="302"/>
      <c r="G759" s="303" t="s">
        <v>411</v>
      </c>
      <c r="H759" s="302"/>
      <c r="I759" s="210"/>
      <c r="J759" s="229">
        <v>0.21</v>
      </c>
      <c r="K759" s="160"/>
      <c r="L759" s="229">
        <f t="shared" ref="L759" si="168">J759*13%</f>
        <v>2.7300000000000001E-2</v>
      </c>
      <c r="M759" s="161"/>
      <c r="N759" s="140"/>
      <c r="O759" s="229">
        <f t="shared" ref="O759" si="169">+J759+L759+M759</f>
        <v>0.23729999999999998</v>
      </c>
      <c r="P759" s="140"/>
    </row>
    <row r="760" spans="2:16">
      <c r="B760" s="139">
        <v>54</v>
      </c>
      <c r="C760" s="218">
        <v>44913</v>
      </c>
      <c r="D760" s="203" t="s">
        <v>651</v>
      </c>
      <c r="E760" s="301" t="s">
        <v>656</v>
      </c>
      <c r="F760" s="302"/>
      <c r="G760" s="303" t="s">
        <v>411</v>
      </c>
      <c r="H760" s="302"/>
      <c r="I760" s="210"/>
      <c r="J760" s="229">
        <v>0.54</v>
      </c>
      <c r="K760" s="160"/>
      <c r="L760" s="229">
        <f t="shared" ref="L760" si="170">J760*13%</f>
        <v>7.0200000000000012E-2</v>
      </c>
      <c r="M760" s="161"/>
      <c r="N760" s="140"/>
      <c r="O760" s="229">
        <f t="shared" ref="O760" si="171">+J760+L760+M760</f>
        <v>0.61020000000000008</v>
      </c>
      <c r="P760" s="140"/>
    </row>
    <row r="761" spans="2:16">
      <c r="B761" s="139">
        <v>55</v>
      </c>
      <c r="C761" s="218">
        <v>44914</v>
      </c>
      <c r="D761" s="203" t="s">
        <v>652</v>
      </c>
      <c r="E761" s="301" t="s">
        <v>656</v>
      </c>
      <c r="F761" s="302"/>
      <c r="G761" s="303" t="s">
        <v>411</v>
      </c>
      <c r="H761" s="302"/>
      <c r="I761" s="210"/>
      <c r="J761" s="229">
        <v>0.11</v>
      </c>
      <c r="K761" s="160"/>
      <c r="L761" s="229">
        <f t="shared" ref="L761" si="172">J761*13%</f>
        <v>1.43E-2</v>
      </c>
      <c r="M761" s="161"/>
      <c r="N761" s="140"/>
      <c r="O761" s="229">
        <f t="shared" ref="O761" si="173">+J761+L761+M761</f>
        <v>0.12429999999999999</v>
      </c>
      <c r="P761" s="140"/>
    </row>
    <row r="762" spans="2:16">
      <c r="B762" s="139">
        <v>56</v>
      </c>
      <c r="C762" s="218">
        <v>44922</v>
      </c>
      <c r="D762" s="203" t="s">
        <v>653</v>
      </c>
      <c r="E762" s="301" t="s">
        <v>656</v>
      </c>
      <c r="F762" s="302"/>
      <c r="G762" s="303" t="s">
        <v>411</v>
      </c>
      <c r="H762" s="302"/>
      <c r="I762" s="210"/>
      <c r="J762" s="229">
        <v>0.15</v>
      </c>
      <c r="K762" s="160"/>
      <c r="L762" s="229">
        <f t="shared" ref="L762" si="174">J762*13%</f>
        <v>1.95E-2</v>
      </c>
      <c r="M762" s="161"/>
      <c r="N762" s="140"/>
      <c r="O762" s="229">
        <f t="shared" ref="O762" si="175">+J762+L762+M762</f>
        <v>0.16949999999999998</v>
      </c>
      <c r="P762" s="140"/>
    </row>
    <row r="763" spans="2:16">
      <c r="B763" s="139">
        <v>57</v>
      </c>
      <c r="C763" s="218">
        <v>44926</v>
      </c>
      <c r="D763" s="203" t="s">
        <v>654</v>
      </c>
      <c r="E763" s="301" t="s">
        <v>656</v>
      </c>
      <c r="F763" s="302"/>
      <c r="G763" s="303" t="s">
        <v>411</v>
      </c>
      <c r="H763" s="302"/>
      <c r="I763" s="210"/>
      <c r="J763" s="229">
        <v>0.8</v>
      </c>
      <c r="K763" s="160"/>
      <c r="L763" s="229">
        <f t="shared" ref="L763" si="176">J763*13%</f>
        <v>0.10400000000000001</v>
      </c>
      <c r="M763" s="161"/>
      <c r="N763" s="140"/>
      <c r="O763" s="229">
        <f t="shared" ref="O763" si="177">+J763+L763+M763</f>
        <v>0.90400000000000003</v>
      </c>
      <c r="P763" s="140"/>
    </row>
    <row r="764" spans="2:16">
      <c r="B764" s="139"/>
      <c r="C764" s="218"/>
      <c r="D764" s="177"/>
      <c r="E764" s="178"/>
      <c r="F764" s="139"/>
      <c r="G764" s="173"/>
      <c r="H764" s="139"/>
      <c r="I764" s="140"/>
      <c r="J764" s="204"/>
      <c r="K764" s="160"/>
      <c r="L764" s="204"/>
      <c r="M764" s="161"/>
      <c r="N764" s="140"/>
      <c r="O764" s="363"/>
      <c r="P764" s="140"/>
    </row>
    <row r="765" spans="2:16">
      <c r="B765" s="128"/>
      <c r="C765" s="129"/>
      <c r="D765" s="125"/>
      <c r="E765" s="125"/>
      <c r="F765" s="125"/>
      <c r="G765" s="149" t="s">
        <v>88</v>
      </c>
      <c r="H765" s="130"/>
      <c r="I765" s="130"/>
      <c r="J765" s="230">
        <f>SUM(J707:J764)</f>
        <v>2283.0890000000013</v>
      </c>
      <c r="K765" s="230"/>
      <c r="L765" s="230">
        <f>SUM(L707:L764)</f>
        <v>296.80157000000003</v>
      </c>
      <c r="M765" s="230">
        <f>SUM(M707:M764)</f>
        <v>13.319999999999999</v>
      </c>
      <c r="N765" s="230">
        <f>SUM(N707:N764)</f>
        <v>1.21</v>
      </c>
      <c r="O765" s="230">
        <f>SUM(O707:O764)</f>
        <v>2594.4205699999998</v>
      </c>
      <c r="P765" s="130"/>
    </row>
    <row r="766" spans="2:16">
      <c r="B766" s="310"/>
      <c r="C766" s="311"/>
      <c r="D766" s="312"/>
      <c r="E766" s="312"/>
      <c r="F766" s="312"/>
      <c r="G766" s="47"/>
      <c r="H766" s="313"/>
      <c r="I766" s="313"/>
      <c r="J766" s="314"/>
      <c r="K766" s="314"/>
      <c r="L766" s="314"/>
      <c r="M766" s="314"/>
      <c r="N766" s="314"/>
      <c r="O766" s="314"/>
      <c r="P766" s="313"/>
    </row>
    <row r="767" spans="2:16">
      <c r="B767" s="310"/>
      <c r="C767" s="311"/>
      <c r="D767" s="312"/>
      <c r="E767" s="312"/>
      <c r="F767" s="312"/>
      <c r="G767" s="47"/>
      <c r="H767" s="313"/>
      <c r="I767" s="313"/>
      <c r="J767" s="314"/>
      <c r="K767" s="314"/>
      <c r="L767" s="314"/>
      <c r="M767" s="314"/>
      <c r="N767" s="314"/>
      <c r="O767" s="314"/>
      <c r="P767" s="313"/>
    </row>
    <row r="768" spans="2:16" ht="15.6">
      <c r="B768" s="147" t="s">
        <v>11</v>
      </c>
      <c r="C768" s="147"/>
      <c r="D768" s="147"/>
      <c r="I768" s="313"/>
      <c r="J768" s="314"/>
      <c r="K768" s="314"/>
      <c r="L768" s="314"/>
      <c r="O768" s="103"/>
      <c r="P768" s="103"/>
    </row>
    <row r="769" spans="2:16" ht="17.399999999999999">
      <c r="B769" s="90" t="s">
        <v>84</v>
      </c>
      <c r="C769" s="83"/>
      <c r="D769" s="83"/>
      <c r="I769" s="47"/>
      <c r="J769" s="206"/>
      <c r="L769" s="103"/>
    </row>
    <row r="770" spans="2:16" ht="15.6">
      <c r="B770" s="83" t="s">
        <v>12</v>
      </c>
      <c r="L770" s="103"/>
    </row>
    <row r="778" spans="2:16" ht="16.2">
      <c r="B778" s="87" t="s">
        <v>15</v>
      </c>
      <c r="C778" s="79"/>
      <c r="D778" s="148" t="s">
        <v>139</v>
      </c>
      <c r="E778" s="79"/>
      <c r="F778" s="79"/>
      <c r="G778" s="79"/>
      <c r="H778" s="115"/>
      <c r="I778" s="115"/>
      <c r="J778" s="115"/>
      <c r="K778" s="162" t="s">
        <v>80</v>
      </c>
      <c r="L778" s="115"/>
      <c r="M778" s="115"/>
      <c r="N778" s="115"/>
      <c r="O778" s="115"/>
      <c r="P778" s="79"/>
    </row>
    <row r="779" spans="2:16" ht="16.2">
      <c r="B779" s="79" t="s">
        <v>140</v>
      </c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</row>
    <row r="780" spans="2:16" ht="16.8">
      <c r="B780" s="79" t="s">
        <v>16</v>
      </c>
      <c r="C780" s="256" t="s">
        <v>82</v>
      </c>
      <c r="D780" s="88" t="s">
        <v>8</v>
      </c>
      <c r="E780" s="80">
        <v>2023</v>
      </c>
      <c r="F780" s="80"/>
      <c r="G780" s="79"/>
      <c r="H780" s="79"/>
      <c r="I780" s="79"/>
      <c r="J780" s="79"/>
      <c r="K780" s="79"/>
      <c r="L780" s="79"/>
      <c r="M780" s="79"/>
      <c r="N780" s="79"/>
      <c r="O780" s="79"/>
      <c r="P780" s="79"/>
    </row>
    <row r="781" spans="2:16">
      <c r="B781" s="131" t="s">
        <v>17</v>
      </c>
      <c r="C781" s="131" t="s">
        <v>18</v>
      </c>
      <c r="D781" s="131" t="s">
        <v>19</v>
      </c>
      <c r="E781" s="131" t="s">
        <v>19</v>
      </c>
      <c r="F781" s="132" t="s">
        <v>44</v>
      </c>
      <c r="G781" s="133"/>
      <c r="H781" s="134"/>
      <c r="I781" s="135"/>
      <c r="J781" s="134"/>
      <c r="K781" s="135"/>
      <c r="L781" s="136"/>
      <c r="M781" s="135" t="s">
        <v>85</v>
      </c>
      <c r="N781" s="137" t="s">
        <v>56</v>
      </c>
      <c r="O781" s="138" t="s">
        <v>20</v>
      </c>
      <c r="P781" s="132" t="s">
        <v>47</v>
      </c>
    </row>
    <row r="782" spans="2:16">
      <c r="B782" s="139" t="s">
        <v>21</v>
      </c>
      <c r="C782" s="139" t="s">
        <v>22</v>
      </c>
      <c r="D782" s="139" t="s">
        <v>23</v>
      </c>
      <c r="E782" s="139" t="s">
        <v>24</v>
      </c>
      <c r="F782" s="140" t="s">
        <v>45</v>
      </c>
      <c r="G782" s="81" t="s">
        <v>25</v>
      </c>
      <c r="H782" s="211" t="s">
        <v>26</v>
      </c>
      <c r="I782" s="214"/>
      <c r="J782" s="212" t="s">
        <v>27</v>
      </c>
      <c r="K782" s="215"/>
      <c r="L782" s="216"/>
      <c r="M782" s="141" t="s">
        <v>86</v>
      </c>
      <c r="N782" s="142" t="s">
        <v>57</v>
      </c>
      <c r="O782" s="143" t="s">
        <v>28</v>
      </c>
      <c r="P782" s="140" t="s">
        <v>48</v>
      </c>
    </row>
    <row r="783" spans="2:16">
      <c r="B783" s="144"/>
      <c r="C783" s="144"/>
      <c r="D783" s="144"/>
      <c r="E783" s="144"/>
      <c r="F783" s="145" t="s">
        <v>46</v>
      </c>
      <c r="G783" s="146"/>
      <c r="H783" s="144" t="s">
        <v>29</v>
      </c>
      <c r="I783" s="145" t="s">
        <v>30</v>
      </c>
      <c r="J783" s="144" t="s">
        <v>29</v>
      </c>
      <c r="K783" s="145" t="s">
        <v>30</v>
      </c>
      <c r="L783" s="145" t="s">
        <v>31</v>
      </c>
      <c r="M783" s="212" t="s">
        <v>87</v>
      </c>
      <c r="N783" s="211" t="s">
        <v>58</v>
      </c>
      <c r="O783" s="212"/>
      <c r="P783" s="140" t="s">
        <v>49</v>
      </c>
    </row>
    <row r="784" spans="2:16">
      <c r="B784" s="139">
        <v>1</v>
      </c>
      <c r="C784" s="385">
        <v>44929</v>
      </c>
      <c r="D784" s="203" t="s">
        <v>657</v>
      </c>
      <c r="E784" s="178" t="s">
        <v>165</v>
      </c>
      <c r="F784" s="139"/>
      <c r="G784" s="168" t="s">
        <v>98</v>
      </c>
      <c r="H784" s="139"/>
      <c r="I784" s="210"/>
      <c r="J784" s="227">
        <v>121.43</v>
      </c>
      <c r="K784" s="160"/>
      <c r="L784" s="229">
        <f t="shared" ref="L784:L785" si="178">J784*13%</f>
        <v>15.785900000000002</v>
      </c>
      <c r="M784" s="161"/>
      <c r="N784" s="387">
        <v>1.21</v>
      </c>
      <c r="O784" s="227">
        <f>+J784+L784+M784+N784</f>
        <v>138.42590000000001</v>
      </c>
      <c r="P784" s="140"/>
    </row>
    <row r="785" spans="2:16">
      <c r="B785" s="139">
        <v>2</v>
      </c>
      <c r="C785" s="385">
        <v>44928</v>
      </c>
      <c r="D785" s="203" t="s">
        <v>681</v>
      </c>
      <c r="E785" s="382" t="s">
        <v>176</v>
      </c>
      <c r="F785" s="209"/>
      <c r="G785" s="217" t="s">
        <v>105</v>
      </c>
      <c r="H785" s="139"/>
      <c r="I785" s="210"/>
      <c r="J785" s="228">
        <v>16.329999999999998</v>
      </c>
      <c r="K785" s="160"/>
      <c r="L785" s="401">
        <f t="shared" si="178"/>
        <v>2.1229</v>
      </c>
      <c r="M785" s="161">
        <v>1.55</v>
      </c>
      <c r="N785" s="140"/>
      <c r="O785" s="227">
        <f t="shared" ref="O785" si="179">+J785+L785+M785</f>
        <v>20.0029</v>
      </c>
      <c r="P785" s="140"/>
    </row>
    <row r="786" spans="2:16">
      <c r="B786" s="139">
        <v>3</v>
      </c>
      <c r="C786" s="385">
        <v>44929</v>
      </c>
      <c r="D786" s="203" t="s">
        <v>658</v>
      </c>
      <c r="E786" s="178" t="s">
        <v>165</v>
      </c>
      <c r="F786" s="139"/>
      <c r="G786" s="168" t="s">
        <v>98</v>
      </c>
      <c r="H786" s="139"/>
      <c r="I786" s="210"/>
      <c r="J786" s="227">
        <v>33.72</v>
      </c>
      <c r="K786" s="160"/>
      <c r="L786" s="229">
        <f t="shared" ref="L786:L812" si="180">J786*13%</f>
        <v>4.3836000000000004</v>
      </c>
      <c r="M786" s="161"/>
      <c r="N786" s="140"/>
      <c r="O786" s="227">
        <f>+J786+L786+M786+N786</f>
        <v>38.1036</v>
      </c>
      <c r="P786" s="140"/>
    </row>
    <row r="787" spans="2:16">
      <c r="B787" s="139">
        <v>4</v>
      </c>
      <c r="C787" s="385">
        <v>44929</v>
      </c>
      <c r="D787" s="203" t="s">
        <v>659</v>
      </c>
      <c r="E787" s="178" t="s">
        <v>197</v>
      </c>
      <c r="F787" s="139"/>
      <c r="G787" s="168" t="s">
        <v>90</v>
      </c>
      <c r="H787" s="209"/>
      <c r="I787" s="210"/>
      <c r="J787" s="227">
        <v>630</v>
      </c>
      <c r="K787" s="160"/>
      <c r="L787" s="229">
        <f t="shared" si="180"/>
        <v>81.900000000000006</v>
      </c>
      <c r="M787" s="161"/>
      <c r="N787" s="140"/>
      <c r="O787" s="227">
        <f t="shared" ref="O787:O795" si="181">+J787+L787+M787</f>
        <v>711.9</v>
      </c>
      <c r="P787" s="140"/>
    </row>
    <row r="788" spans="2:16">
      <c r="B788" s="139">
        <v>5</v>
      </c>
      <c r="C788" s="385">
        <v>44931</v>
      </c>
      <c r="D788" s="386" t="s">
        <v>660</v>
      </c>
      <c r="E788" s="178" t="s">
        <v>192</v>
      </c>
      <c r="F788" s="139"/>
      <c r="G788" s="173" t="s">
        <v>96</v>
      </c>
      <c r="H788" s="209"/>
      <c r="I788" s="140"/>
      <c r="J788" s="227">
        <v>184.62</v>
      </c>
      <c r="K788" s="160"/>
      <c r="L788" s="229">
        <f t="shared" ref="L788:L790" si="182">J788*13%</f>
        <v>24.000600000000002</v>
      </c>
      <c r="M788" s="161"/>
      <c r="N788" s="140"/>
      <c r="O788" s="227">
        <f t="shared" si="181"/>
        <v>208.6206</v>
      </c>
      <c r="P788" s="140"/>
    </row>
    <row r="789" spans="2:16">
      <c r="B789" s="139">
        <v>6</v>
      </c>
      <c r="C789" s="385">
        <v>44931</v>
      </c>
      <c r="D789" s="203" t="s">
        <v>682</v>
      </c>
      <c r="E789" s="178" t="s">
        <v>246</v>
      </c>
      <c r="F789" s="139"/>
      <c r="G789" s="173" t="s">
        <v>330</v>
      </c>
      <c r="H789" s="209"/>
      <c r="I789" s="140"/>
      <c r="J789" s="227">
        <v>6.55</v>
      </c>
      <c r="K789" s="160"/>
      <c r="L789" s="229">
        <f t="shared" si="182"/>
        <v>0.85150000000000003</v>
      </c>
      <c r="M789" s="161"/>
      <c r="N789" s="140"/>
      <c r="O789" s="227">
        <f t="shared" si="181"/>
        <v>7.4014999999999995</v>
      </c>
      <c r="P789" s="140"/>
    </row>
    <row r="790" spans="2:16">
      <c r="B790" s="139">
        <v>7</v>
      </c>
      <c r="C790" s="385">
        <v>44931</v>
      </c>
      <c r="D790" s="203" t="s">
        <v>661</v>
      </c>
      <c r="E790" s="284" t="s">
        <v>175</v>
      </c>
      <c r="F790" s="139"/>
      <c r="G790" s="208" t="s">
        <v>678</v>
      </c>
      <c r="H790" s="209"/>
      <c r="I790" s="210"/>
      <c r="J790" s="228">
        <v>8.16</v>
      </c>
      <c r="K790" s="240"/>
      <c r="L790" s="401">
        <f t="shared" si="182"/>
        <v>1.0608</v>
      </c>
      <c r="M790" s="242"/>
      <c r="N790" s="210"/>
      <c r="O790" s="228">
        <f t="shared" si="181"/>
        <v>9.2208000000000006</v>
      </c>
      <c r="P790" s="140"/>
    </row>
    <row r="791" spans="2:16">
      <c r="B791" s="139">
        <v>8</v>
      </c>
      <c r="C791" s="385">
        <v>44933</v>
      </c>
      <c r="D791" s="203" t="s">
        <v>241</v>
      </c>
      <c r="E791" s="178" t="s">
        <v>246</v>
      </c>
      <c r="F791" s="139"/>
      <c r="G791" s="173" t="s">
        <v>330</v>
      </c>
      <c r="H791" s="209"/>
      <c r="I791" s="140"/>
      <c r="J791" s="227">
        <v>8.36</v>
      </c>
      <c r="K791" s="160"/>
      <c r="L791" s="229">
        <f t="shared" ref="L791:L794" si="183">J791*13%</f>
        <v>1.0868</v>
      </c>
      <c r="M791" s="161"/>
      <c r="N791" s="140"/>
      <c r="O791" s="227">
        <f t="shared" si="181"/>
        <v>9.4467999999999996</v>
      </c>
      <c r="P791" s="140"/>
    </row>
    <row r="792" spans="2:16">
      <c r="B792" s="139">
        <v>9</v>
      </c>
      <c r="C792" s="385">
        <v>44933</v>
      </c>
      <c r="D792" s="203" t="s">
        <v>683</v>
      </c>
      <c r="E792" s="178" t="s">
        <v>352</v>
      </c>
      <c r="F792" s="209"/>
      <c r="G792" s="208" t="s">
        <v>353</v>
      </c>
      <c r="H792" s="209"/>
      <c r="I792" s="210"/>
      <c r="J792" s="228">
        <v>20.47</v>
      </c>
      <c r="K792" s="240"/>
      <c r="L792" s="401">
        <f t="shared" si="183"/>
        <v>2.6610999999999998</v>
      </c>
      <c r="M792" s="161">
        <f>1.25+0.62</f>
        <v>1.87</v>
      </c>
      <c r="N792" s="157"/>
      <c r="O792" s="227">
        <f t="shared" si="181"/>
        <v>25.001100000000001</v>
      </c>
      <c r="P792" s="140"/>
    </row>
    <row r="793" spans="2:16">
      <c r="B793" s="139">
        <v>10</v>
      </c>
      <c r="C793" s="385">
        <v>44931</v>
      </c>
      <c r="D793" s="203" t="s">
        <v>684</v>
      </c>
      <c r="E793" s="284" t="s">
        <v>175</v>
      </c>
      <c r="F793" s="139"/>
      <c r="G793" s="208" t="s">
        <v>678</v>
      </c>
      <c r="H793" s="139"/>
      <c r="I793" s="140"/>
      <c r="J793" s="227">
        <v>20.49</v>
      </c>
      <c r="K793" s="240"/>
      <c r="L793" s="229">
        <f t="shared" si="183"/>
        <v>2.6637</v>
      </c>
      <c r="M793" s="161">
        <v>1.85</v>
      </c>
      <c r="N793" s="140"/>
      <c r="O793" s="227">
        <f t="shared" si="181"/>
        <v>25.003699999999998</v>
      </c>
      <c r="P793" s="140"/>
    </row>
    <row r="794" spans="2:16">
      <c r="B794" s="139">
        <v>11</v>
      </c>
      <c r="C794" s="385">
        <v>44934</v>
      </c>
      <c r="D794" s="203" t="s">
        <v>685</v>
      </c>
      <c r="E794" s="178" t="s">
        <v>686</v>
      </c>
      <c r="F794" s="139"/>
      <c r="G794" s="168" t="s">
        <v>687</v>
      </c>
      <c r="H794" s="139"/>
      <c r="I794" s="210"/>
      <c r="J794" s="227">
        <v>6.19</v>
      </c>
      <c r="K794" s="240"/>
      <c r="L794" s="229">
        <f t="shared" si="183"/>
        <v>0.80470000000000008</v>
      </c>
      <c r="M794" s="161"/>
      <c r="N794" s="140"/>
      <c r="O794" s="227">
        <f t="shared" si="181"/>
        <v>6.9947000000000008</v>
      </c>
      <c r="P794" s="140"/>
    </row>
    <row r="795" spans="2:16">
      <c r="B795" s="139">
        <v>12</v>
      </c>
      <c r="C795" s="385">
        <v>44938</v>
      </c>
      <c r="D795" s="203" t="s">
        <v>662</v>
      </c>
      <c r="E795" s="178" t="s">
        <v>165</v>
      </c>
      <c r="F795" s="139"/>
      <c r="G795" s="168" t="s">
        <v>98</v>
      </c>
      <c r="H795" s="139"/>
      <c r="I795" s="210"/>
      <c r="J795" s="227">
        <v>11.64</v>
      </c>
      <c r="K795" s="240"/>
      <c r="L795" s="229">
        <f t="shared" si="180"/>
        <v>1.5132000000000001</v>
      </c>
      <c r="M795" s="161"/>
      <c r="N795" s="140"/>
      <c r="O795" s="227">
        <f t="shared" si="181"/>
        <v>13.1532</v>
      </c>
      <c r="P795" s="140"/>
    </row>
    <row r="796" spans="2:16">
      <c r="B796" s="139">
        <v>13</v>
      </c>
      <c r="C796" s="385">
        <v>44938</v>
      </c>
      <c r="D796" s="203" t="s">
        <v>598</v>
      </c>
      <c r="E796" s="178" t="s">
        <v>165</v>
      </c>
      <c r="F796" s="139"/>
      <c r="G796" s="168" t="s">
        <v>98</v>
      </c>
      <c r="H796" s="139"/>
      <c r="I796" s="210"/>
      <c r="J796" s="227">
        <v>118.26</v>
      </c>
      <c r="K796" s="160"/>
      <c r="L796" s="229">
        <f t="shared" si="180"/>
        <v>15.373800000000001</v>
      </c>
      <c r="M796" s="161"/>
      <c r="N796" s="387">
        <v>1.18</v>
      </c>
      <c r="O796" s="227">
        <f>+J796+L796+M796+N796</f>
        <v>134.81380000000001</v>
      </c>
      <c r="P796" s="140"/>
    </row>
    <row r="797" spans="2:16">
      <c r="B797" s="139">
        <v>14</v>
      </c>
      <c r="C797" s="385">
        <v>44938</v>
      </c>
      <c r="D797" s="203" t="s">
        <v>663</v>
      </c>
      <c r="E797" s="178" t="s">
        <v>179</v>
      </c>
      <c r="F797" s="209"/>
      <c r="G797" s="168" t="s">
        <v>100</v>
      </c>
      <c r="H797" s="139"/>
      <c r="I797" s="210"/>
      <c r="J797" s="227">
        <v>19.829999999999998</v>
      </c>
      <c r="K797" s="160"/>
      <c r="L797" s="229">
        <f t="shared" si="180"/>
        <v>2.5779000000000001</v>
      </c>
      <c r="M797" s="161"/>
      <c r="N797" s="140"/>
      <c r="O797" s="227">
        <f>+J797+L797+M797+N797</f>
        <v>22.407899999999998</v>
      </c>
      <c r="P797" s="140"/>
    </row>
    <row r="798" spans="2:16">
      <c r="B798" s="139">
        <v>15</v>
      </c>
      <c r="C798" s="385">
        <v>44935</v>
      </c>
      <c r="D798" s="203" t="s">
        <v>664</v>
      </c>
      <c r="E798" s="178" t="s">
        <v>204</v>
      </c>
      <c r="F798" s="209"/>
      <c r="G798" s="168" t="s">
        <v>609</v>
      </c>
      <c r="H798" s="139"/>
      <c r="I798" s="210"/>
      <c r="J798" s="227">
        <v>16.3</v>
      </c>
      <c r="K798" s="160"/>
      <c r="L798" s="229">
        <f t="shared" si="180"/>
        <v>2.1190000000000002</v>
      </c>
      <c r="M798" s="161"/>
      <c r="N798" s="140"/>
      <c r="O798" s="227">
        <f t="shared" ref="O798:O803" si="184">+J798+L798+M798</f>
        <v>18.419</v>
      </c>
      <c r="P798" s="140"/>
    </row>
    <row r="799" spans="2:16">
      <c r="B799" s="139">
        <v>16</v>
      </c>
      <c r="C799" s="385">
        <v>44935</v>
      </c>
      <c r="D799" s="203" t="s">
        <v>665</v>
      </c>
      <c r="E799" s="178" t="s">
        <v>181</v>
      </c>
      <c r="F799" s="209"/>
      <c r="G799" s="168" t="s">
        <v>94</v>
      </c>
      <c r="H799" s="139"/>
      <c r="I799" s="210"/>
      <c r="J799" s="227">
        <v>41.5</v>
      </c>
      <c r="K799" s="160"/>
      <c r="L799" s="229">
        <f t="shared" si="180"/>
        <v>5.3950000000000005</v>
      </c>
      <c r="M799" s="161"/>
      <c r="N799" s="140"/>
      <c r="O799" s="227">
        <f t="shared" si="184"/>
        <v>46.895000000000003</v>
      </c>
      <c r="P799" s="140"/>
    </row>
    <row r="800" spans="2:16">
      <c r="B800" s="139">
        <v>17</v>
      </c>
      <c r="C800" s="385">
        <v>44943</v>
      </c>
      <c r="D800" s="203" t="s">
        <v>666</v>
      </c>
      <c r="E800" s="284" t="s">
        <v>200</v>
      </c>
      <c r="F800" s="139"/>
      <c r="G800" s="208" t="s">
        <v>97</v>
      </c>
      <c r="H800" s="139"/>
      <c r="I800" s="210"/>
      <c r="J800" s="228">
        <v>16.34</v>
      </c>
      <c r="K800" s="160"/>
      <c r="L800" s="401">
        <f t="shared" si="180"/>
        <v>2.1242000000000001</v>
      </c>
      <c r="M800" s="161">
        <f>1.03+0.51</f>
        <v>1.54</v>
      </c>
      <c r="N800" s="140"/>
      <c r="O800" s="227">
        <f t="shared" si="184"/>
        <v>20.004199999999997</v>
      </c>
      <c r="P800" s="140"/>
    </row>
    <row r="801" spans="2:16">
      <c r="B801" s="139">
        <v>18</v>
      </c>
      <c r="C801" s="385">
        <v>44943</v>
      </c>
      <c r="D801" s="203" t="s">
        <v>667</v>
      </c>
      <c r="E801" s="178" t="s">
        <v>179</v>
      </c>
      <c r="F801" s="139"/>
      <c r="G801" s="173" t="s">
        <v>100</v>
      </c>
      <c r="H801" s="209"/>
      <c r="I801" s="140"/>
      <c r="J801" s="227">
        <v>80.14</v>
      </c>
      <c r="K801" s="160"/>
      <c r="L801" s="229">
        <f t="shared" si="180"/>
        <v>10.418200000000001</v>
      </c>
      <c r="M801" s="161"/>
      <c r="N801" s="140"/>
      <c r="O801" s="227">
        <f t="shared" si="184"/>
        <v>90.558199999999999</v>
      </c>
      <c r="P801" s="140"/>
    </row>
    <row r="802" spans="2:16">
      <c r="B802" s="139">
        <v>19</v>
      </c>
      <c r="C802" s="385">
        <v>44943</v>
      </c>
      <c r="D802" s="203" t="s">
        <v>668</v>
      </c>
      <c r="E802" s="178" t="s">
        <v>165</v>
      </c>
      <c r="F802" s="139"/>
      <c r="G802" s="168" t="s">
        <v>98</v>
      </c>
      <c r="H802" s="139"/>
      <c r="I802" s="140"/>
      <c r="J802" s="227">
        <v>91.81</v>
      </c>
      <c r="K802" s="240"/>
      <c r="L802" s="229">
        <f t="shared" si="180"/>
        <v>11.935300000000002</v>
      </c>
      <c r="M802" s="161"/>
      <c r="N802" s="140"/>
      <c r="O802" s="227">
        <f t="shared" si="184"/>
        <v>103.7453</v>
      </c>
      <c r="P802" s="140"/>
    </row>
    <row r="803" spans="2:16">
      <c r="B803" s="139">
        <v>20</v>
      </c>
      <c r="C803" s="385">
        <v>44945</v>
      </c>
      <c r="D803" s="203" t="s">
        <v>669</v>
      </c>
      <c r="E803" s="178" t="s">
        <v>192</v>
      </c>
      <c r="F803" s="139"/>
      <c r="G803" s="173" t="s">
        <v>96</v>
      </c>
      <c r="H803" s="209"/>
      <c r="I803" s="140"/>
      <c r="J803" s="227">
        <v>156.29</v>
      </c>
      <c r="K803" s="160"/>
      <c r="L803" s="229">
        <f t="shared" si="180"/>
        <v>20.317699999999999</v>
      </c>
      <c r="M803" s="161"/>
      <c r="N803" s="140"/>
      <c r="O803" s="227">
        <f t="shared" si="184"/>
        <v>176.60769999999999</v>
      </c>
      <c r="P803" s="140"/>
    </row>
    <row r="804" spans="2:16">
      <c r="B804" s="139">
        <v>21</v>
      </c>
      <c r="C804" s="385">
        <v>44948</v>
      </c>
      <c r="D804" s="203" t="s">
        <v>670</v>
      </c>
      <c r="E804" s="284" t="s">
        <v>200</v>
      </c>
      <c r="F804" s="139"/>
      <c r="G804" s="208" t="s">
        <v>97</v>
      </c>
      <c r="H804" s="139"/>
      <c r="I804" s="210"/>
      <c r="J804" s="228">
        <v>8.17</v>
      </c>
      <c r="K804" s="160"/>
      <c r="L804" s="401">
        <f t="shared" ref="L804" si="185">J804*13%</f>
        <v>1.0621</v>
      </c>
      <c r="M804" s="161">
        <f>0.51+0.26</f>
        <v>0.77</v>
      </c>
      <c r="N804" s="140"/>
      <c r="O804" s="227">
        <f t="shared" ref="O804" si="186">+J804+L804+M804</f>
        <v>10.002099999999999</v>
      </c>
      <c r="P804" s="140"/>
    </row>
    <row r="805" spans="2:16">
      <c r="B805" s="139">
        <v>22</v>
      </c>
      <c r="C805" s="385">
        <v>44949</v>
      </c>
      <c r="D805" s="203" t="s">
        <v>671</v>
      </c>
      <c r="E805" s="178" t="s">
        <v>165</v>
      </c>
      <c r="F805" s="139"/>
      <c r="G805" s="168" t="s">
        <v>98</v>
      </c>
      <c r="H805" s="209"/>
      <c r="I805" s="210"/>
      <c r="J805" s="227">
        <v>115.03</v>
      </c>
      <c r="K805" s="160"/>
      <c r="L805" s="229">
        <f t="shared" si="180"/>
        <v>14.953900000000001</v>
      </c>
      <c r="M805" s="161"/>
      <c r="N805" s="387">
        <v>1.1499999999999999</v>
      </c>
      <c r="O805" s="227">
        <f>+J805+L805+M805+N805</f>
        <v>131.13390000000001</v>
      </c>
      <c r="P805" s="140"/>
    </row>
    <row r="806" spans="2:16">
      <c r="B806" s="139">
        <v>23</v>
      </c>
      <c r="C806" s="385">
        <v>44949</v>
      </c>
      <c r="D806" s="203" t="s">
        <v>614</v>
      </c>
      <c r="E806" s="178" t="s">
        <v>165</v>
      </c>
      <c r="F806" s="139"/>
      <c r="G806" s="168" t="s">
        <v>98</v>
      </c>
      <c r="H806" s="139"/>
      <c r="I806" s="210"/>
      <c r="J806" s="227">
        <v>31.07</v>
      </c>
      <c r="K806" s="160"/>
      <c r="L806" s="229">
        <f t="shared" si="180"/>
        <v>4.0391000000000004</v>
      </c>
      <c r="M806" s="161"/>
      <c r="N806" s="140"/>
      <c r="O806" s="227">
        <f>+J806+L806+M806+N806</f>
        <v>35.109099999999998</v>
      </c>
      <c r="P806" s="140"/>
    </row>
    <row r="807" spans="2:16">
      <c r="B807" s="139">
        <v>24</v>
      </c>
      <c r="C807" s="385">
        <v>44950</v>
      </c>
      <c r="D807" s="203" t="s">
        <v>672</v>
      </c>
      <c r="E807" s="284" t="s">
        <v>200</v>
      </c>
      <c r="F807" s="139"/>
      <c r="G807" s="208" t="s">
        <v>97</v>
      </c>
      <c r="H807" s="139"/>
      <c r="I807" s="210"/>
      <c r="J807" s="228">
        <v>20.52</v>
      </c>
      <c r="K807" s="160"/>
      <c r="L807" s="401">
        <f t="shared" si="180"/>
        <v>2.6676000000000002</v>
      </c>
      <c r="M807" s="161">
        <v>1.81</v>
      </c>
      <c r="N807" s="140"/>
      <c r="O807" s="227">
        <f t="shared" ref="O807" si="187">+J807+L807+M807</f>
        <v>24.997599999999998</v>
      </c>
      <c r="P807" s="140"/>
    </row>
    <row r="808" spans="2:16">
      <c r="B808" s="139">
        <v>25</v>
      </c>
      <c r="C808" s="385">
        <v>44956</v>
      </c>
      <c r="D808" s="203" t="s">
        <v>673</v>
      </c>
      <c r="E808" s="382" t="s">
        <v>176</v>
      </c>
      <c r="F808" s="209"/>
      <c r="G808" s="217" t="s">
        <v>105</v>
      </c>
      <c r="H808" s="139"/>
      <c r="I808" s="210"/>
      <c r="J808" s="228">
        <v>20.59</v>
      </c>
      <c r="K808" s="160"/>
      <c r="L808" s="401">
        <f t="shared" ref="L808" si="188">J808*13%</f>
        <v>2.6766999999999999</v>
      </c>
      <c r="M808" s="161">
        <v>1.73</v>
      </c>
      <c r="N808" s="140"/>
      <c r="O808" s="227">
        <f t="shared" ref="O808" si="189">+J808+L808+M808</f>
        <v>24.996700000000001</v>
      </c>
      <c r="P808" s="140"/>
    </row>
    <row r="809" spans="2:16">
      <c r="B809" s="139">
        <v>26</v>
      </c>
      <c r="C809" s="385">
        <v>44956</v>
      </c>
      <c r="D809" s="203" t="s">
        <v>674</v>
      </c>
      <c r="E809" s="231" t="s">
        <v>390</v>
      </c>
      <c r="F809" s="139"/>
      <c r="G809" s="174" t="s">
        <v>391</v>
      </c>
      <c r="H809" s="209"/>
      <c r="I809" s="210"/>
      <c r="J809" s="229">
        <v>30.09</v>
      </c>
      <c r="K809" s="160"/>
      <c r="L809" s="229">
        <f t="shared" si="180"/>
        <v>3.9117000000000002</v>
      </c>
      <c r="M809" s="161"/>
      <c r="N809" s="140"/>
      <c r="O809" s="227">
        <f>+J809+L809+M809+N809</f>
        <v>34.0017</v>
      </c>
      <c r="P809" s="140"/>
    </row>
    <row r="810" spans="2:16">
      <c r="B810" s="139">
        <v>27</v>
      </c>
      <c r="C810" s="385">
        <v>44952</v>
      </c>
      <c r="D810" s="203" t="s">
        <v>675</v>
      </c>
      <c r="E810" s="284" t="s">
        <v>175</v>
      </c>
      <c r="F810" s="139"/>
      <c r="G810" s="208" t="s">
        <v>103</v>
      </c>
      <c r="H810" s="209"/>
      <c r="I810" s="140"/>
      <c r="J810" s="228">
        <v>16.48</v>
      </c>
      <c r="K810" s="160"/>
      <c r="L810" s="401">
        <f t="shared" si="180"/>
        <v>2.1424000000000003</v>
      </c>
      <c r="M810" s="161">
        <f>0.92+0.46</f>
        <v>1.3800000000000001</v>
      </c>
      <c r="N810" s="140"/>
      <c r="O810" s="227">
        <f t="shared" ref="O810:O812" si="190">+J810+L810+M810</f>
        <v>20.002399999999998</v>
      </c>
      <c r="P810" s="140"/>
    </row>
    <row r="811" spans="2:16">
      <c r="B811" s="139">
        <v>28</v>
      </c>
      <c r="C811" s="385">
        <v>44954</v>
      </c>
      <c r="D811" s="203" t="s">
        <v>676</v>
      </c>
      <c r="E811" s="178" t="s">
        <v>192</v>
      </c>
      <c r="F811" s="139"/>
      <c r="G811" s="173" t="s">
        <v>96</v>
      </c>
      <c r="H811" s="209"/>
      <c r="I811" s="140"/>
      <c r="J811" s="227">
        <v>211.89</v>
      </c>
      <c r="K811" s="240"/>
      <c r="L811" s="229">
        <f t="shared" si="180"/>
        <v>27.5457</v>
      </c>
      <c r="M811" s="161"/>
      <c r="N811" s="140"/>
      <c r="O811" s="227">
        <f t="shared" si="190"/>
        <v>239.4357</v>
      </c>
      <c r="P811" s="140"/>
    </row>
    <row r="812" spans="2:16">
      <c r="B812" s="139">
        <v>29</v>
      </c>
      <c r="C812" s="385">
        <v>44957</v>
      </c>
      <c r="D812" s="203" t="s">
        <v>677</v>
      </c>
      <c r="E812" s="284" t="s">
        <v>175</v>
      </c>
      <c r="F812" s="139"/>
      <c r="G812" s="208" t="s">
        <v>678</v>
      </c>
      <c r="H812" s="139"/>
      <c r="I812" s="140"/>
      <c r="J812" s="227">
        <v>8.2100000000000009</v>
      </c>
      <c r="K812" s="240"/>
      <c r="L812" s="401">
        <f t="shared" si="180"/>
        <v>1.0673000000000001</v>
      </c>
      <c r="M812" s="161">
        <f>0.48+0.24</f>
        <v>0.72</v>
      </c>
      <c r="N812" s="140"/>
      <c r="O812" s="227">
        <f t="shared" si="190"/>
        <v>9.997300000000001</v>
      </c>
      <c r="P812" s="140"/>
    </row>
    <row r="813" spans="2:16">
      <c r="B813" s="139">
        <v>30</v>
      </c>
      <c r="C813" s="385">
        <v>44957</v>
      </c>
      <c r="D813" s="203" t="s">
        <v>679</v>
      </c>
      <c r="E813" s="178" t="s">
        <v>165</v>
      </c>
      <c r="F813" s="139"/>
      <c r="G813" s="168" t="s">
        <v>98</v>
      </c>
      <c r="H813" s="139"/>
      <c r="I813" s="140"/>
      <c r="J813" s="227">
        <v>53.78</v>
      </c>
      <c r="K813" s="240"/>
      <c r="L813" s="229">
        <f t="shared" ref="L813" si="191">J813*13%</f>
        <v>6.9914000000000005</v>
      </c>
      <c r="M813" s="161"/>
      <c r="N813" s="140"/>
      <c r="O813" s="227">
        <f t="shared" ref="O813" si="192">+J813+L813+M813</f>
        <v>60.7714</v>
      </c>
      <c r="P813" s="140"/>
    </row>
    <row r="814" spans="2:16">
      <c r="B814" s="139">
        <v>31</v>
      </c>
      <c r="C814" s="385">
        <v>44957</v>
      </c>
      <c r="D814" s="203" t="s">
        <v>680</v>
      </c>
      <c r="E814" s="178" t="s">
        <v>165</v>
      </c>
      <c r="F814" s="139"/>
      <c r="G814" s="168" t="s">
        <v>98</v>
      </c>
      <c r="H814" s="139"/>
      <c r="I814" s="140"/>
      <c r="J814" s="227">
        <v>76.260000000000005</v>
      </c>
      <c r="K814" s="240"/>
      <c r="L814" s="229">
        <f t="shared" ref="L814" si="193">J814*13%</f>
        <v>9.9138000000000002</v>
      </c>
      <c r="M814" s="161"/>
      <c r="N814" s="140"/>
      <c r="O814" s="227">
        <f t="shared" ref="O814" si="194">+J814+L814+M814</f>
        <v>86.1738</v>
      </c>
      <c r="P814" s="140"/>
    </row>
    <row r="815" spans="2:16">
      <c r="B815" s="139"/>
      <c r="C815" s="218"/>
      <c r="D815" s="177"/>
      <c r="E815" s="178"/>
      <c r="F815" s="139"/>
      <c r="G815" s="173"/>
      <c r="H815" s="139"/>
      <c r="I815" s="140"/>
      <c r="J815" s="204"/>
      <c r="K815" s="160"/>
      <c r="L815" s="204"/>
      <c r="M815" s="161"/>
      <c r="N815" s="140"/>
      <c r="O815" s="363"/>
      <c r="P815" s="140"/>
    </row>
    <row r="816" spans="2:16">
      <c r="B816" s="128"/>
      <c r="C816" s="129"/>
      <c r="D816" s="125"/>
      <c r="E816" s="125"/>
      <c r="F816" s="125"/>
      <c r="G816" s="149" t="s">
        <v>88</v>
      </c>
      <c r="H816" s="130"/>
      <c r="I816" s="130"/>
      <c r="J816" s="230">
        <f>SUM(J784:J815)</f>
        <v>2200.52</v>
      </c>
      <c r="K816" s="230"/>
      <c r="L816" s="230">
        <f>SUM(L784:L815)</f>
        <v>286.06760000000003</v>
      </c>
      <c r="M816" s="230">
        <f>SUM(M784:M815)</f>
        <v>13.220000000000002</v>
      </c>
      <c r="N816" s="230">
        <f>SUM(N784:N815)</f>
        <v>3.5399999999999996</v>
      </c>
      <c r="O816" s="230">
        <f>SUM(O784:O815)</f>
        <v>2503.3475999999996</v>
      </c>
      <c r="P816" s="130"/>
    </row>
    <row r="817" spans="2:16">
      <c r="B817" s="310"/>
      <c r="C817" s="311"/>
      <c r="D817" s="312"/>
      <c r="E817" s="312"/>
      <c r="F817" s="312"/>
      <c r="G817" s="47"/>
      <c r="H817" s="313"/>
      <c r="I817" s="313"/>
      <c r="J817" s="314"/>
      <c r="K817" s="314"/>
      <c r="L817" s="314"/>
      <c r="M817" s="314"/>
      <c r="N817" s="314"/>
      <c r="O817" s="314"/>
      <c r="P817" s="313"/>
    </row>
    <row r="818" spans="2:16">
      <c r="B818" s="310"/>
      <c r="C818" s="311"/>
      <c r="D818" s="312"/>
      <c r="E818" s="312"/>
      <c r="F818" s="312"/>
      <c r="G818" s="47"/>
      <c r="H818" s="313"/>
      <c r="I818" s="313"/>
      <c r="J818" s="314"/>
      <c r="K818" s="314"/>
      <c r="L818" s="314"/>
      <c r="M818" s="314"/>
      <c r="N818" s="314"/>
      <c r="O818" s="314"/>
      <c r="P818" s="313"/>
    </row>
    <row r="819" spans="2:16" ht="15.6">
      <c r="B819" s="147" t="s">
        <v>11</v>
      </c>
      <c r="C819" s="147"/>
      <c r="D819" s="147"/>
      <c r="I819" s="313"/>
      <c r="J819" s="314"/>
      <c r="K819" s="314"/>
      <c r="L819" s="314"/>
      <c r="O819" s="103"/>
      <c r="P819" s="103"/>
    </row>
    <row r="820" spans="2:16" ht="17.399999999999999">
      <c r="B820" s="90" t="s">
        <v>84</v>
      </c>
      <c r="C820" s="83"/>
      <c r="D820" s="83"/>
      <c r="I820" s="47"/>
      <c r="J820" s="206"/>
      <c r="L820" s="103">
        <f>L785+L790+L792+L800+L804+L807+L808+L810+L812</f>
        <v>17.585100000000001</v>
      </c>
    </row>
    <row r="821" spans="2:16" ht="15.6">
      <c r="B821" s="83" t="s">
        <v>12</v>
      </c>
      <c r="L821" s="103">
        <f>L820/2</f>
        <v>8.7925500000000003</v>
      </c>
    </row>
    <row r="825" spans="2:16">
      <c r="C825" s="385">
        <v>44929</v>
      </c>
      <c r="D825" s="203" t="s">
        <v>657</v>
      </c>
      <c r="E825" s="178" t="s">
        <v>165</v>
      </c>
      <c r="F825" s="139"/>
      <c r="G825" s="168" t="s">
        <v>98</v>
      </c>
      <c r="H825" s="139"/>
      <c r="I825" s="210"/>
      <c r="J825" s="227">
        <v>121.43</v>
      </c>
      <c r="K825" s="160"/>
      <c r="L825" s="229">
        <f t="shared" ref="L825:L827" si="195">J825*13%</f>
        <v>15.785900000000002</v>
      </c>
      <c r="M825" s="161"/>
      <c r="N825" s="387">
        <v>1.21</v>
      </c>
      <c r="O825" s="227">
        <f>+J825+L825+M825+N825</f>
        <v>138.42590000000001</v>
      </c>
    </row>
    <row r="826" spans="2:16">
      <c r="C826" s="385">
        <v>44938</v>
      </c>
      <c r="D826" s="203" t="s">
        <v>598</v>
      </c>
      <c r="E826" s="178" t="s">
        <v>165</v>
      </c>
      <c r="F826" s="139"/>
      <c r="G826" s="168" t="s">
        <v>98</v>
      </c>
      <c r="H826" s="139"/>
      <c r="I826" s="210"/>
      <c r="J826" s="227">
        <v>118.26</v>
      </c>
      <c r="K826" s="160"/>
      <c r="L826" s="229">
        <f t="shared" si="195"/>
        <v>15.373800000000001</v>
      </c>
      <c r="M826" s="161"/>
      <c r="N826" s="387">
        <v>1.18</v>
      </c>
      <c r="O826" s="227">
        <f>+J826+L826+M826+N826</f>
        <v>134.81380000000001</v>
      </c>
    </row>
    <row r="827" spans="2:16">
      <c r="C827" s="385">
        <v>44949</v>
      </c>
      <c r="D827" s="203" t="s">
        <v>671</v>
      </c>
      <c r="E827" s="178" t="s">
        <v>165</v>
      </c>
      <c r="F827" s="139"/>
      <c r="G827" s="168" t="s">
        <v>98</v>
      </c>
      <c r="H827" s="209"/>
      <c r="I827" s="210"/>
      <c r="J827" s="227">
        <v>115.03</v>
      </c>
      <c r="K827" s="160"/>
      <c r="L827" s="229">
        <f t="shared" si="195"/>
        <v>14.953900000000001</v>
      </c>
      <c r="M827" s="161"/>
      <c r="N827" s="387">
        <v>1.1499999999999999</v>
      </c>
      <c r="O827" s="227">
        <f>+J827+L827+M827+N827</f>
        <v>131.13390000000001</v>
      </c>
    </row>
    <row r="834" spans="2:16" ht="16.2">
      <c r="B834" s="87" t="s">
        <v>15</v>
      </c>
      <c r="C834" s="79"/>
      <c r="D834" s="148" t="s">
        <v>139</v>
      </c>
      <c r="E834" s="79"/>
      <c r="F834" s="79"/>
      <c r="G834" s="79"/>
      <c r="H834" s="115"/>
      <c r="I834" s="115"/>
      <c r="J834" s="115"/>
      <c r="K834" s="162" t="s">
        <v>80</v>
      </c>
      <c r="L834" s="115"/>
      <c r="M834" s="115"/>
      <c r="N834" s="115"/>
      <c r="O834" s="115"/>
      <c r="P834" s="79"/>
    </row>
    <row r="835" spans="2:16" ht="16.2">
      <c r="B835" s="79" t="s">
        <v>140</v>
      </c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</row>
    <row r="836" spans="2:16" ht="18.600000000000001">
      <c r="B836" s="79" t="s">
        <v>16</v>
      </c>
      <c r="C836" s="256" t="s">
        <v>82</v>
      </c>
      <c r="D836" s="88" t="s">
        <v>8</v>
      </c>
      <c r="E836" s="80">
        <v>2023</v>
      </c>
      <c r="F836" s="80"/>
      <c r="G836" s="79"/>
      <c r="H836" s="79"/>
      <c r="I836" s="79"/>
      <c r="J836" s="79"/>
      <c r="K836" s="79"/>
      <c r="L836" s="79"/>
      <c r="M836" s="79"/>
      <c r="N836" s="79"/>
      <c r="O836" s="79"/>
      <c r="P836" s="79"/>
    </row>
    <row r="837" spans="2:16">
      <c r="B837" s="131" t="s">
        <v>17</v>
      </c>
      <c r="C837" s="131" t="s">
        <v>18</v>
      </c>
      <c r="D837" s="131" t="s">
        <v>19</v>
      </c>
      <c r="E837" s="131" t="s">
        <v>19</v>
      </c>
      <c r="F837" s="132" t="s">
        <v>44</v>
      </c>
      <c r="G837" s="133"/>
      <c r="H837" s="134"/>
      <c r="I837" s="135"/>
      <c r="J837" s="134"/>
      <c r="K837" s="135"/>
      <c r="L837" s="136"/>
      <c r="M837" s="135" t="s">
        <v>85</v>
      </c>
      <c r="N837" s="137" t="s">
        <v>56</v>
      </c>
      <c r="O837" s="138" t="s">
        <v>20</v>
      </c>
      <c r="P837" s="132" t="s">
        <v>47</v>
      </c>
    </row>
    <row r="838" spans="2:16">
      <c r="B838" s="139" t="s">
        <v>21</v>
      </c>
      <c r="C838" s="139" t="s">
        <v>22</v>
      </c>
      <c r="D838" s="139" t="s">
        <v>23</v>
      </c>
      <c r="E838" s="139" t="s">
        <v>24</v>
      </c>
      <c r="F838" s="140" t="s">
        <v>45</v>
      </c>
      <c r="G838" s="81" t="s">
        <v>25</v>
      </c>
      <c r="H838" s="211" t="s">
        <v>26</v>
      </c>
      <c r="I838" s="214"/>
      <c r="J838" s="212" t="s">
        <v>27</v>
      </c>
      <c r="K838" s="215"/>
      <c r="L838" s="216"/>
      <c r="M838" s="141" t="s">
        <v>86</v>
      </c>
      <c r="N838" s="142" t="s">
        <v>57</v>
      </c>
      <c r="O838" s="143" t="s">
        <v>28</v>
      </c>
      <c r="P838" s="140" t="s">
        <v>48</v>
      </c>
    </row>
    <row r="839" spans="2:16">
      <c r="B839" s="144"/>
      <c r="C839" s="144"/>
      <c r="D839" s="144"/>
      <c r="E839" s="144"/>
      <c r="F839" s="145" t="s">
        <v>46</v>
      </c>
      <c r="G839" s="146"/>
      <c r="H839" s="144" t="s">
        <v>29</v>
      </c>
      <c r="I839" s="145" t="s">
        <v>30</v>
      </c>
      <c r="J839" s="144" t="s">
        <v>29</v>
      </c>
      <c r="K839" s="145" t="s">
        <v>30</v>
      </c>
      <c r="L839" s="145" t="s">
        <v>31</v>
      </c>
      <c r="M839" s="212" t="s">
        <v>87</v>
      </c>
      <c r="N839" s="211" t="s">
        <v>58</v>
      </c>
      <c r="O839" s="212"/>
      <c r="P839" s="140" t="s">
        <v>49</v>
      </c>
    </row>
    <row r="840" spans="2:16">
      <c r="B840" s="139">
        <v>1</v>
      </c>
      <c r="C840" s="385">
        <v>44929</v>
      </c>
      <c r="D840" s="203" t="s">
        <v>657</v>
      </c>
      <c r="E840" s="178" t="s">
        <v>165</v>
      </c>
      <c r="F840" s="139"/>
      <c r="G840" s="168" t="s">
        <v>98</v>
      </c>
      <c r="H840" s="139"/>
      <c r="I840" s="210"/>
      <c r="J840" s="227"/>
      <c r="K840" s="160"/>
      <c r="L840" s="229">
        <f t="shared" ref="L840:L870" si="196">J840*13%</f>
        <v>0</v>
      </c>
      <c r="M840" s="161"/>
      <c r="N840" s="387"/>
      <c r="O840" s="227">
        <f>+J840+L840+M840+N840</f>
        <v>0</v>
      </c>
      <c r="P840" s="140"/>
    </row>
    <row r="841" spans="2:16">
      <c r="B841" s="139">
        <v>2</v>
      </c>
      <c r="C841" s="385">
        <v>44928</v>
      </c>
      <c r="D841" s="203" t="s">
        <v>681</v>
      </c>
      <c r="E841" s="382" t="s">
        <v>176</v>
      </c>
      <c r="F841" s="209"/>
      <c r="G841" s="217" t="s">
        <v>105</v>
      </c>
      <c r="H841" s="139"/>
      <c r="I841" s="210"/>
      <c r="J841" s="228"/>
      <c r="K841" s="160"/>
      <c r="L841" s="401">
        <f t="shared" si="196"/>
        <v>0</v>
      </c>
      <c r="M841" s="161"/>
      <c r="N841" s="140"/>
      <c r="O841" s="227">
        <f t="shared" ref="O841" si="197">+J841+L841+M841</f>
        <v>0</v>
      </c>
      <c r="P841" s="140"/>
    </row>
    <row r="842" spans="2:16">
      <c r="B842" s="139">
        <v>3</v>
      </c>
      <c r="C842" s="385">
        <v>44929</v>
      </c>
      <c r="D842" s="203" t="s">
        <v>658</v>
      </c>
      <c r="E842" s="178" t="s">
        <v>165</v>
      </c>
      <c r="F842" s="139"/>
      <c r="G842" s="168" t="s">
        <v>98</v>
      </c>
      <c r="H842" s="139"/>
      <c r="I842" s="210"/>
      <c r="J842" s="227"/>
      <c r="K842" s="160"/>
      <c r="L842" s="229">
        <f t="shared" si="196"/>
        <v>0</v>
      </c>
      <c r="M842" s="161"/>
      <c r="N842" s="140"/>
      <c r="O842" s="227">
        <f>+J842+L842+M842+N842</f>
        <v>0</v>
      </c>
      <c r="P842" s="140"/>
    </row>
    <row r="843" spans="2:16">
      <c r="B843" s="139">
        <v>4</v>
      </c>
      <c r="C843" s="385">
        <v>44929</v>
      </c>
      <c r="D843" s="203" t="s">
        <v>659</v>
      </c>
      <c r="E843" s="178" t="s">
        <v>197</v>
      </c>
      <c r="F843" s="139"/>
      <c r="G843" s="168" t="s">
        <v>90</v>
      </c>
      <c r="H843" s="209"/>
      <c r="I843" s="210"/>
      <c r="J843" s="227"/>
      <c r="K843" s="160"/>
      <c r="L843" s="229">
        <f t="shared" si="196"/>
        <v>0</v>
      </c>
      <c r="M843" s="161"/>
      <c r="N843" s="140"/>
      <c r="O843" s="227">
        <f t="shared" ref="O843:O851" si="198">+J843+L843+M843</f>
        <v>0</v>
      </c>
      <c r="P843" s="140"/>
    </row>
    <row r="844" spans="2:16">
      <c r="B844" s="139">
        <v>5</v>
      </c>
      <c r="C844" s="385">
        <v>44931</v>
      </c>
      <c r="D844" s="386" t="s">
        <v>660</v>
      </c>
      <c r="E844" s="178" t="s">
        <v>192</v>
      </c>
      <c r="F844" s="139"/>
      <c r="G844" s="173" t="s">
        <v>96</v>
      </c>
      <c r="H844" s="209"/>
      <c r="I844" s="140"/>
      <c r="J844" s="227"/>
      <c r="K844" s="160"/>
      <c r="L844" s="229">
        <f t="shared" si="196"/>
        <v>0</v>
      </c>
      <c r="M844" s="161"/>
      <c r="N844" s="140"/>
      <c r="O844" s="227">
        <f t="shared" si="198"/>
        <v>0</v>
      </c>
      <c r="P844" s="140"/>
    </row>
    <row r="845" spans="2:16">
      <c r="B845" s="139">
        <v>6</v>
      </c>
      <c r="C845" s="385">
        <v>44931</v>
      </c>
      <c r="D845" s="203" t="s">
        <v>682</v>
      </c>
      <c r="E845" s="178" t="s">
        <v>246</v>
      </c>
      <c r="F845" s="139"/>
      <c r="G845" s="173" t="s">
        <v>330</v>
      </c>
      <c r="H845" s="209"/>
      <c r="I845" s="140"/>
      <c r="J845" s="227"/>
      <c r="K845" s="160"/>
      <c r="L845" s="229">
        <f t="shared" si="196"/>
        <v>0</v>
      </c>
      <c r="M845" s="161"/>
      <c r="N845" s="140"/>
      <c r="O845" s="227">
        <f t="shared" si="198"/>
        <v>0</v>
      </c>
      <c r="P845" s="140"/>
    </row>
    <row r="846" spans="2:16">
      <c r="B846" s="139">
        <v>7</v>
      </c>
      <c r="C846" s="385">
        <v>44931</v>
      </c>
      <c r="D846" s="203" t="s">
        <v>661</v>
      </c>
      <c r="E846" s="284" t="s">
        <v>175</v>
      </c>
      <c r="F846" s="139"/>
      <c r="G846" s="208" t="s">
        <v>678</v>
      </c>
      <c r="H846" s="209"/>
      <c r="I846" s="210"/>
      <c r="J846" s="228"/>
      <c r="K846" s="240"/>
      <c r="L846" s="401">
        <f t="shared" si="196"/>
        <v>0</v>
      </c>
      <c r="M846" s="242"/>
      <c r="N846" s="210"/>
      <c r="O846" s="228">
        <f t="shared" si="198"/>
        <v>0</v>
      </c>
      <c r="P846" s="140"/>
    </row>
    <row r="847" spans="2:16">
      <c r="B847" s="139">
        <v>8</v>
      </c>
      <c r="C847" s="385">
        <v>44933</v>
      </c>
      <c r="D847" s="203" t="s">
        <v>241</v>
      </c>
      <c r="E847" s="178" t="s">
        <v>246</v>
      </c>
      <c r="F847" s="139"/>
      <c r="G847" s="173" t="s">
        <v>330</v>
      </c>
      <c r="H847" s="209"/>
      <c r="I847" s="140"/>
      <c r="J847" s="227"/>
      <c r="K847" s="160"/>
      <c r="L847" s="229">
        <f t="shared" si="196"/>
        <v>0</v>
      </c>
      <c r="M847" s="161"/>
      <c r="N847" s="140"/>
      <c r="O847" s="227">
        <f t="shared" si="198"/>
        <v>0</v>
      </c>
      <c r="P847" s="140"/>
    </row>
    <row r="848" spans="2:16">
      <c r="B848" s="139">
        <v>9</v>
      </c>
      <c r="C848" s="385">
        <v>44933</v>
      </c>
      <c r="D848" s="203" t="s">
        <v>683</v>
      </c>
      <c r="E848" s="178" t="s">
        <v>352</v>
      </c>
      <c r="F848" s="209"/>
      <c r="G848" s="208" t="s">
        <v>353</v>
      </c>
      <c r="H848" s="209"/>
      <c r="I848" s="210"/>
      <c r="J848" s="228"/>
      <c r="K848" s="240"/>
      <c r="L848" s="401">
        <f t="shared" si="196"/>
        <v>0</v>
      </c>
      <c r="M848" s="161"/>
      <c r="N848" s="157"/>
      <c r="O848" s="227">
        <f t="shared" si="198"/>
        <v>0</v>
      </c>
      <c r="P848" s="140"/>
    </row>
    <row r="849" spans="2:16">
      <c r="B849" s="139">
        <v>10</v>
      </c>
      <c r="C849" s="385">
        <v>44931</v>
      </c>
      <c r="D849" s="203" t="s">
        <v>684</v>
      </c>
      <c r="E849" s="284" t="s">
        <v>175</v>
      </c>
      <c r="F849" s="139"/>
      <c r="G849" s="208" t="s">
        <v>678</v>
      </c>
      <c r="H849" s="139"/>
      <c r="I849" s="140"/>
      <c r="J849" s="227"/>
      <c r="K849" s="240"/>
      <c r="L849" s="229">
        <f t="shared" si="196"/>
        <v>0</v>
      </c>
      <c r="M849" s="161"/>
      <c r="N849" s="140"/>
      <c r="O849" s="227">
        <f t="shared" si="198"/>
        <v>0</v>
      </c>
      <c r="P849" s="140"/>
    </row>
    <row r="850" spans="2:16">
      <c r="B850" s="139">
        <v>11</v>
      </c>
      <c r="C850" s="385">
        <v>44934</v>
      </c>
      <c r="D850" s="203" t="s">
        <v>685</v>
      </c>
      <c r="E850" s="178" t="s">
        <v>686</v>
      </c>
      <c r="F850" s="139"/>
      <c r="G850" s="168" t="s">
        <v>687</v>
      </c>
      <c r="H850" s="139"/>
      <c r="I850" s="210"/>
      <c r="J850" s="227"/>
      <c r="K850" s="240"/>
      <c r="L850" s="229">
        <f t="shared" si="196"/>
        <v>0</v>
      </c>
      <c r="M850" s="161"/>
      <c r="N850" s="140"/>
      <c r="O850" s="227">
        <f t="shared" si="198"/>
        <v>0</v>
      </c>
      <c r="P850" s="140"/>
    </row>
    <row r="851" spans="2:16">
      <c r="B851" s="139">
        <v>12</v>
      </c>
      <c r="C851" s="385">
        <v>44938</v>
      </c>
      <c r="D851" s="203" t="s">
        <v>662</v>
      </c>
      <c r="E851" s="178" t="s">
        <v>165</v>
      </c>
      <c r="F851" s="139"/>
      <c r="G851" s="168" t="s">
        <v>98</v>
      </c>
      <c r="H851" s="139"/>
      <c r="I851" s="210"/>
      <c r="J851" s="227"/>
      <c r="K851" s="240"/>
      <c r="L851" s="229">
        <f t="shared" si="196"/>
        <v>0</v>
      </c>
      <c r="M851" s="161"/>
      <c r="N851" s="140"/>
      <c r="O851" s="227">
        <f t="shared" si="198"/>
        <v>0</v>
      </c>
      <c r="P851" s="140"/>
    </row>
    <row r="852" spans="2:16">
      <c r="B852" s="139">
        <v>13</v>
      </c>
      <c r="C852" s="385">
        <v>44938</v>
      </c>
      <c r="D852" s="203" t="s">
        <v>598</v>
      </c>
      <c r="E852" s="178" t="s">
        <v>165</v>
      </c>
      <c r="F852" s="139"/>
      <c r="G852" s="168" t="s">
        <v>98</v>
      </c>
      <c r="H852" s="139"/>
      <c r="I852" s="210"/>
      <c r="J852" s="227"/>
      <c r="K852" s="160"/>
      <c r="L852" s="229">
        <f t="shared" si="196"/>
        <v>0</v>
      </c>
      <c r="M852" s="161"/>
      <c r="N852" s="387"/>
      <c r="O852" s="227">
        <f>+J852+L852+M852+N852</f>
        <v>0</v>
      </c>
      <c r="P852" s="140"/>
    </row>
    <row r="853" spans="2:16">
      <c r="B853" s="139">
        <v>14</v>
      </c>
      <c r="C853" s="385">
        <v>44938</v>
      </c>
      <c r="D853" s="203" t="s">
        <v>663</v>
      </c>
      <c r="E853" s="178" t="s">
        <v>179</v>
      </c>
      <c r="F853" s="209"/>
      <c r="G853" s="168" t="s">
        <v>100</v>
      </c>
      <c r="H853" s="139"/>
      <c r="I853" s="210"/>
      <c r="J853" s="227"/>
      <c r="K853" s="160"/>
      <c r="L853" s="229">
        <f t="shared" si="196"/>
        <v>0</v>
      </c>
      <c r="M853" s="161"/>
      <c r="N853" s="140"/>
      <c r="O853" s="227">
        <f>+J853+L853+M853+N853</f>
        <v>0</v>
      </c>
      <c r="P853" s="140"/>
    </row>
    <row r="854" spans="2:16">
      <c r="B854" s="139">
        <v>15</v>
      </c>
      <c r="C854" s="385">
        <v>44935</v>
      </c>
      <c r="D854" s="203" t="s">
        <v>664</v>
      </c>
      <c r="E854" s="178" t="s">
        <v>204</v>
      </c>
      <c r="F854" s="209"/>
      <c r="G854" s="168" t="s">
        <v>609</v>
      </c>
      <c r="H854" s="139"/>
      <c r="I854" s="210"/>
      <c r="J854" s="227"/>
      <c r="K854" s="160"/>
      <c r="L854" s="229">
        <f t="shared" si="196"/>
        <v>0</v>
      </c>
      <c r="M854" s="161"/>
      <c r="N854" s="140"/>
      <c r="O854" s="227">
        <f t="shared" ref="O854:O860" si="199">+J854+L854+M854</f>
        <v>0</v>
      </c>
      <c r="P854" s="140"/>
    </row>
    <row r="855" spans="2:16">
      <c r="B855" s="139">
        <v>16</v>
      </c>
      <c r="C855" s="385">
        <v>44935</v>
      </c>
      <c r="D855" s="203" t="s">
        <v>665</v>
      </c>
      <c r="E855" s="178" t="s">
        <v>181</v>
      </c>
      <c r="F855" s="209"/>
      <c r="G855" s="168" t="s">
        <v>94</v>
      </c>
      <c r="H855" s="139"/>
      <c r="I855" s="210"/>
      <c r="J855" s="227"/>
      <c r="K855" s="160"/>
      <c r="L855" s="229">
        <f t="shared" si="196"/>
        <v>0</v>
      </c>
      <c r="M855" s="161"/>
      <c r="N855" s="140"/>
      <c r="O855" s="227">
        <f t="shared" si="199"/>
        <v>0</v>
      </c>
      <c r="P855" s="140"/>
    </row>
    <row r="856" spans="2:16">
      <c r="B856" s="139">
        <v>17</v>
      </c>
      <c r="C856" s="385">
        <v>44943</v>
      </c>
      <c r="D856" s="203" t="s">
        <v>666</v>
      </c>
      <c r="E856" s="284" t="s">
        <v>200</v>
      </c>
      <c r="F856" s="139"/>
      <c r="G856" s="208" t="s">
        <v>97</v>
      </c>
      <c r="H856" s="139"/>
      <c r="I856" s="210"/>
      <c r="J856" s="228"/>
      <c r="K856" s="160"/>
      <c r="L856" s="401">
        <f t="shared" si="196"/>
        <v>0</v>
      </c>
      <c r="M856" s="161"/>
      <c r="N856" s="140"/>
      <c r="O856" s="227">
        <f t="shared" si="199"/>
        <v>0</v>
      </c>
      <c r="P856" s="140"/>
    </row>
    <row r="857" spans="2:16">
      <c r="B857" s="139">
        <v>18</v>
      </c>
      <c r="C857" s="385">
        <v>44943</v>
      </c>
      <c r="D857" s="203" t="s">
        <v>667</v>
      </c>
      <c r="E857" s="178" t="s">
        <v>179</v>
      </c>
      <c r="F857" s="139"/>
      <c r="G857" s="173" t="s">
        <v>100</v>
      </c>
      <c r="H857" s="209"/>
      <c r="I857" s="140"/>
      <c r="J857" s="227"/>
      <c r="K857" s="160"/>
      <c r="L857" s="229">
        <f t="shared" si="196"/>
        <v>0</v>
      </c>
      <c r="M857" s="161"/>
      <c r="N857" s="140"/>
      <c r="O857" s="227">
        <f t="shared" si="199"/>
        <v>0</v>
      </c>
      <c r="P857" s="140"/>
    </row>
    <row r="858" spans="2:16">
      <c r="B858" s="139">
        <v>19</v>
      </c>
      <c r="C858" s="385">
        <v>44943</v>
      </c>
      <c r="D858" s="203" t="s">
        <v>668</v>
      </c>
      <c r="E858" s="178" t="s">
        <v>165</v>
      </c>
      <c r="F858" s="139"/>
      <c r="G858" s="168" t="s">
        <v>98</v>
      </c>
      <c r="H858" s="139"/>
      <c r="I858" s="140"/>
      <c r="J858" s="227"/>
      <c r="K858" s="240"/>
      <c r="L858" s="229">
        <f t="shared" si="196"/>
        <v>0</v>
      </c>
      <c r="M858" s="161"/>
      <c r="N858" s="140"/>
      <c r="O858" s="227">
        <f t="shared" si="199"/>
        <v>0</v>
      </c>
      <c r="P858" s="140"/>
    </row>
    <row r="859" spans="2:16">
      <c r="B859" s="139">
        <v>20</v>
      </c>
      <c r="C859" s="385">
        <v>44945</v>
      </c>
      <c r="D859" s="203" t="s">
        <v>669</v>
      </c>
      <c r="E859" s="178" t="s">
        <v>192</v>
      </c>
      <c r="F859" s="139"/>
      <c r="G859" s="173" t="s">
        <v>96</v>
      </c>
      <c r="H859" s="209"/>
      <c r="I859" s="140"/>
      <c r="J859" s="227"/>
      <c r="K859" s="160"/>
      <c r="L859" s="229">
        <f t="shared" si="196"/>
        <v>0</v>
      </c>
      <c r="M859" s="161"/>
      <c r="N859" s="140"/>
      <c r="O859" s="227">
        <f t="shared" si="199"/>
        <v>0</v>
      </c>
      <c r="P859" s="140"/>
    </row>
    <row r="860" spans="2:16">
      <c r="B860" s="139">
        <v>21</v>
      </c>
      <c r="C860" s="385">
        <v>44948</v>
      </c>
      <c r="D860" s="203" t="s">
        <v>670</v>
      </c>
      <c r="E860" s="284" t="s">
        <v>200</v>
      </c>
      <c r="F860" s="139"/>
      <c r="G860" s="208" t="s">
        <v>97</v>
      </c>
      <c r="H860" s="139"/>
      <c r="I860" s="210"/>
      <c r="J860" s="228"/>
      <c r="K860" s="160"/>
      <c r="L860" s="401">
        <f t="shared" si="196"/>
        <v>0</v>
      </c>
      <c r="M860" s="161"/>
      <c r="N860" s="140"/>
      <c r="O860" s="227">
        <f t="shared" si="199"/>
        <v>0</v>
      </c>
      <c r="P860" s="140"/>
    </row>
    <row r="861" spans="2:16">
      <c r="B861" s="139">
        <v>22</v>
      </c>
      <c r="C861" s="385">
        <v>44949</v>
      </c>
      <c r="D861" s="203" t="s">
        <v>671</v>
      </c>
      <c r="E861" s="178" t="s">
        <v>165</v>
      </c>
      <c r="F861" s="139"/>
      <c r="G861" s="168" t="s">
        <v>98</v>
      </c>
      <c r="H861" s="209"/>
      <c r="I861" s="210"/>
      <c r="J861" s="227"/>
      <c r="K861" s="160"/>
      <c r="L861" s="229">
        <f t="shared" si="196"/>
        <v>0</v>
      </c>
      <c r="M861" s="161"/>
      <c r="N861" s="387"/>
      <c r="O861" s="227">
        <f>+J861+L861+M861+N861</f>
        <v>0</v>
      </c>
      <c r="P861" s="140"/>
    </row>
    <row r="862" spans="2:16">
      <c r="B862" s="139">
        <v>23</v>
      </c>
      <c r="C862" s="385">
        <v>44949</v>
      </c>
      <c r="D862" s="203" t="s">
        <v>614</v>
      </c>
      <c r="E862" s="178" t="s">
        <v>165</v>
      </c>
      <c r="F862" s="139"/>
      <c r="G862" s="168" t="s">
        <v>98</v>
      </c>
      <c r="H862" s="139"/>
      <c r="I862" s="210"/>
      <c r="J862" s="227"/>
      <c r="K862" s="160"/>
      <c r="L862" s="229">
        <f t="shared" si="196"/>
        <v>0</v>
      </c>
      <c r="M862" s="161"/>
      <c r="N862" s="140"/>
      <c r="O862" s="227">
        <f>+J862+L862+M862+N862</f>
        <v>0</v>
      </c>
      <c r="P862" s="140"/>
    </row>
    <row r="863" spans="2:16">
      <c r="B863" s="139">
        <v>24</v>
      </c>
      <c r="C863" s="385">
        <v>44950</v>
      </c>
      <c r="D863" s="203" t="s">
        <v>672</v>
      </c>
      <c r="E863" s="284" t="s">
        <v>200</v>
      </c>
      <c r="F863" s="139"/>
      <c r="G863" s="208" t="s">
        <v>97</v>
      </c>
      <c r="H863" s="139"/>
      <c r="I863" s="210"/>
      <c r="J863" s="228"/>
      <c r="K863" s="160"/>
      <c r="L863" s="401">
        <f t="shared" si="196"/>
        <v>0</v>
      </c>
      <c r="M863" s="161"/>
      <c r="N863" s="140"/>
      <c r="O863" s="227">
        <f t="shared" ref="O863:O864" si="200">+J863+L863+M863</f>
        <v>0</v>
      </c>
      <c r="P863" s="140"/>
    </row>
    <row r="864" spans="2:16">
      <c r="B864" s="139">
        <v>25</v>
      </c>
      <c r="C864" s="385">
        <v>44956</v>
      </c>
      <c r="D864" s="203" t="s">
        <v>673</v>
      </c>
      <c r="E864" s="382" t="s">
        <v>176</v>
      </c>
      <c r="F864" s="209"/>
      <c r="G864" s="217" t="s">
        <v>105</v>
      </c>
      <c r="H864" s="139"/>
      <c r="I864" s="210"/>
      <c r="J864" s="228"/>
      <c r="K864" s="160"/>
      <c r="L864" s="401">
        <f t="shared" si="196"/>
        <v>0</v>
      </c>
      <c r="M864" s="161"/>
      <c r="N864" s="140"/>
      <c r="O864" s="227">
        <f t="shared" si="200"/>
        <v>0</v>
      </c>
      <c r="P864" s="140"/>
    </row>
    <row r="865" spans="2:16">
      <c r="B865" s="139">
        <v>26</v>
      </c>
      <c r="C865" s="385">
        <v>44956</v>
      </c>
      <c r="D865" s="203" t="s">
        <v>674</v>
      </c>
      <c r="E865" s="231" t="s">
        <v>390</v>
      </c>
      <c r="F865" s="139"/>
      <c r="G865" s="174" t="s">
        <v>391</v>
      </c>
      <c r="H865" s="209"/>
      <c r="I865" s="210"/>
      <c r="J865" s="229"/>
      <c r="K865" s="160"/>
      <c r="L865" s="229">
        <f t="shared" si="196"/>
        <v>0</v>
      </c>
      <c r="M865" s="161"/>
      <c r="N865" s="140"/>
      <c r="O865" s="227">
        <f>+J865+L865+M865+N865</f>
        <v>0</v>
      </c>
      <c r="P865" s="140"/>
    </row>
    <row r="866" spans="2:16">
      <c r="B866" s="139">
        <v>27</v>
      </c>
      <c r="C866" s="385">
        <v>44952</v>
      </c>
      <c r="D866" s="203" t="s">
        <v>675</v>
      </c>
      <c r="E866" s="284" t="s">
        <v>175</v>
      </c>
      <c r="F866" s="139"/>
      <c r="G866" s="208" t="s">
        <v>103</v>
      </c>
      <c r="H866" s="209"/>
      <c r="I866" s="140"/>
      <c r="J866" s="228"/>
      <c r="K866" s="160"/>
      <c r="L866" s="401">
        <f t="shared" si="196"/>
        <v>0</v>
      </c>
      <c r="M866" s="161"/>
      <c r="N866" s="140"/>
      <c r="O866" s="227">
        <f t="shared" ref="O866:O870" si="201">+J866+L866+M866</f>
        <v>0</v>
      </c>
      <c r="P866" s="140"/>
    </row>
    <row r="867" spans="2:16">
      <c r="B867" s="139">
        <v>28</v>
      </c>
      <c r="C867" s="385">
        <v>44954</v>
      </c>
      <c r="D867" s="203" t="s">
        <v>676</v>
      </c>
      <c r="E867" s="178" t="s">
        <v>192</v>
      </c>
      <c r="F867" s="139"/>
      <c r="G867" s="173" t="s">
        <v>96</v>
      </c>
      <c r="H867" s="209"/>
      <c r="I867" s="140"/>
      <c r="J867" s="227"/>
      <c r="K867" s="240"/>
      <c r="L867" s="229">
        <f t="shared" si="196"/>
        <v>0</v>
      </c>
      <c r="M867" s="161"/>
      <c r="N867" s="140"/>
      <c r="O867" s="227">
        <f t="shared" si="201"/>
        <v>0</v>
      </c>
      <c r="P867" s="140"/>
    </row>
    <row r="868" spans="2:16">
      <c r="B868" s="139">
        <v>29</v>
      </c>
      <c r="C868" s="385">
        <v>44957</v>
      </c>
      <c r="D868" s="203" t="s">
        <v>677</v>
      </c>
      <c r="E868" s="284" t="s">
        <v>175</v>
      </c>
      <c r="F868" s="139"/>
      <c r="G868" s="208" t="s">
        <v>678</v>
      </c>
      <c r="H868" s="139"/>
      <c r="I868" s="140"/>
      <c r="J868" s="227"/>
      <c r="K868" s="240"/>
      <c r="L868" s="401">
        <f t="shared" si="196"/>
        <v>0</v>
      </c>
      <c r="M868" s="161"/>
      <c r="N868" s="140"/>
      <c r="O868" s="227">
        <f t="shared" si="201"/>
        <v>0</v>
      </c>
      <c r="P868" s="140"/>
    </row>
    <row r="869" spans="2:16">
      <c r="B869" s="139">
        <v>30</v>
      </c>
      <c r="C869" s="385">
        <v>44957</v>
      </c>
      <c r="D869" s="203" t="s">
        <v>679</v>
      </c>
      <c r="E869" s="178" t="s">
        <v>165</v>
      </c>
      <c r="F869" s="139"/>
      <c r="G869" s="168" t="s">
        <v>98</v>
      </c>
      <c r="H869" s="139"/>
      <c r="I869" s="140"/>
      <c r="J869" s="227"/>
      <c r="K869" s="240"/>
      <c r="L869" s="229">
        <f t="shared" si="196"/>
        <v>0</v>
      </c>
      <c r="M869" s="161"/>
      <c r="N869" s="140"/>
      <c r="O869" s="227">
        <f t="shared" si="201"/>
        <v>0</v>
      </c>
      <c r="P869" s="140"/>
    </row>
    <row r="870" spans="2:16">
      <c r="B870" s="139">
        <v>31</v>
      </c>
      <c r="C870" s="385">
        <v>44957</v>
      </c>
      <c r="D870" s="203" t="s">
        <v>680</v>
      </c>
      <c r="E870" s="178" t="s">
        <v>165</v>
      </c>
      <c r="F870" s="139"/>
      <c r="G870" s="168" t="s">
        <v>98</v>
      </c>
      <c r="H870" s="139"/>
      <c r="I870" s="140"/>
      <c r="J870" s="227"/>
      <c r="K870" s="240"/>
      <c r="L870" s="229">
        <f t="shared" si="196"/>
        <v>0</v>
      </c>
      <c r="M870" s="161"/>
      <c r="N870" s="140"/>
      <c r="O870" s="227">
        <f t="shared" si="201"/>
        <v>0</v>
      </c>
      <c r="P870" s="140"/>
    </row>
    <row r="871" spans="2:16">
      <c r="B871" s="139"/>
      <c r="C871" s="218"/>
      <c r="D871" s="177"/>
      <c r="E871" s="178"/>
      <c r="F871" s="139"/>
      <c r="G871" s="173"/>
      <c r="H871" s="139"/>
      <c r="I871" s="140"/>
      <c r="J871" s="204"/>
      <c r="K871" s="160"/>
      <c r="L871" s="204"/>
      <c r="M871" s="161"/>
      <c r="N871" s="140"/>
      <c r="O871" s="363"/>
      <c r="P871" s="140"/>
    </row>
    <row r="872" spans="2:16">
      <c r="B872" s="128"/>
      <c r="C872" s="129"/>
      <c r="D872" s="125"/>
      <c r="E872" s="125"/>
      <c r="F872" s="125"/>
      <c r="G872" s="149" t="s">
        <v>88</v>
      </c>
      <c r="H872" s="130"/>
      <c r="I872" s="130"/>
      <c r="J872" s="230">
        <f>SUM(J840:J871)</f>
        <v>0</v>
      </c>
      <c r="K872" s="230"/>
      <c r="L872" s="230">
        <f>SUM(L840:L871)</f>
        <v>0</v>
      </c>
      <c r="M872" s="230">
        <f>SUM(M840:M871)</f>
        <v>0</v>
      </c>
      <c r="N872" s="230">
        <f>SUM(N840:N871)</f>
        <v>0</v>
      </c>
      <c r="O872" s="230">
        <f>SUM(O840:O871)</f>
        <v>0</v>
      </c>
      <c r="P872" s="130"/>
    </row>
    <row r="873" spans="2:16">
      <c r="B873" s="310"/>
      <c r="C873" s="311"/>
      <c r="D873" s="312"/>
      <c r="E873" s="312"/>
      <c r="F873" s="312"/>
      <c r="G873" s="47"/>
      <c r="H873" s="313"/>
      <c r="I873" s="313"/>
      <c r="J873" s="314"/>
      <c r="K873" s="314"/>
      <c r="L873" s="314"/>
      <c r="M873" s="314"/>
      <c r="N873" s="314"/>
      <c r="O873" s="314"/>
      <c r="P873" s="313"/>
    </row>
    <row r="874" spans="2:16">
      <c r="B874" s="310"/>
      <c r="C874" s="311"/>
      <c r="D874" s="312"/>
      <c r="E874" s="312"/>
      <c r="F874" s="312"/>
      <c r="G874" s="47"/>
      <c r="H874" s="313"/>
      <c r="I874" s="313"/>
      <c r="J874" s="314"/>
      <c r="K874" s="314"/>
      <c r="L874" s="314"/>
      <c r="M874" s="314"/>
      <c r="N874" s="314"/>
      <c r="O874" s="314"/>
      <c r="P874" s="313"/>
    </row>
    <row r="875" spans="2:16" ht="15.6">
      <c r="B875" s="147" t="s">
        <v>11</v>
      </c>
      <c r="C875" s="147"/>
      <c r="D875" s="147"/>
      <c r="I875" s="313"/>
      <c r="J875" s="314"/>
      <c r="K875" s="314"/>
      <c r="L875" s="314"/>
      <c r="O875" s="103"/>
      <c r="P875" s="103"/>
    </row>
    <row r="876" spans="2:16" ht="17.399999999999999">
      <c r="B876" s="90" t="s">
        <v>84</v>
      </c>
      <c r="C876" s="83"/>
      <c r="D876" s="83"/>
      <c r="I876" s="47"/>
      <c r="J876" s="206"/>
      <c r="L876" s="103">
        <f>L841+L846+L848+L856+L860+L863+L864+L866+L868</f>
        <v>0</v>
      </c>
    </row>
    <row r="877" spans="2:16" ht="15.6">
      <c r="B877" s="83" t="s">
        <v>12</v>
      </c>
      <c r="L877" s="103">
        <f>L876/2</f>
        <v>0</v>
      </c>
    </row>
  </sheetData>
  <mergeCells count="2">
    <mergeCell ref="H8:I8"/>
    <mergeCell ref="J8:L8"/>
  </mergeCells>
  <phoneticPr fontId="0" type="noConversion"/>
  <dataValidations count="5">
    <dataValidation errorStyle="warning" operator="greaterThanOrEqual" allowBlank="1" showInputMessage="1" showErrorMessage="1" errorTitle="Error " error="Dato invalido, revise los comentarios de la columna para saber que información va en esta columna" sqref="C10:C38 C60:C84 C104:C131 C152:C182 C201:C222 C244:C276 C296:C325 C348:C383 C400:C466 C486:C518 C537:C586 C607:C634 C657:C684 C707:C764 C784:C815 C825:C827 C840:C871" xr:uid="{00000000-0002-0000-0100-000000000000}"/>
    <dataValidation operator="lessThan" allowBlank="1" showInputMessage="1" showErrorMessage="1" errorTitle="Error " error="Dato invalido, revise los comentarios de la columna para saber que información va en esta columna" sqref="D10:D38 D60:D84 D104:D131 D152:D182 D201:D222 D244:D276 D296:D325 D348:D383 D400:D466 D486:D518 D537:D586 D607:D634 D657:D684 D707:D764 D784:D815 D825:D827 D840:D871" xr:uid="{00000000-0002-0000-0100-000001000000}"/>
    <dataValidation type="textLength" operator="lessThan" allowBlank="1" showErrorMessage="1" errorTitle="Error" error="Dato invalido, revise los comentarios de la columna para saber que información va en esta columna" sqref="E10:E38 E60:E84 E104:E131 E152:E182 E201:E222 E244:E276 E296:E325 E348:E383 E400:E466 E486:E518 E707:E764 E607:E634 E657:E684 E537:E586 E784:E815 E825:E827 E840:E871" xr:uid="{00000000-0002-0000-0100-000002000000}">
      <formula1>18</formula1>
    </dataValidation>
    <dataValidation allowBlank="1" showErrorMessage="1" errorTitle="Error" error="Dato invalido, revise los comentarios de la columna para saber que información va en esta columna" sqref="G10:G38 G60:G84 G104:G131 G152:G182 G201:G222 G244:G276 G296:G325 G348:G383 G400:G466 G486:G518 G537:G586 G607:G634 G657:G684 G707:G764 G784:G815 G825:G827 G840:G871" xr:uid="{00000000-0002-0000-0100-000003000000}"/>
    <dataValidation type="textLength" operator="lessThan" allowBlank="1" showInputMessage="1" showErrorMessage="1" errorTitle="Error " error="Dato invalido, revise los comentarios de la columna para saber que información va en esta columna" sqref="J10:J38 L10:L38 L60:L84 J60:J84 J104:J131 L104:L131 L152:L182 J152:J182 J201:J222 L201:L222 L244:L276 J244:J276 J296:J325 L296:L325 J348:J383 L348:L383 J400:J466 L400:L466 J486:J518 L486:L518 J537:J586 L537:L586 J607:J634 L607:L634 J657:J684 L657:L684 L707:L764 J707:J764 J784:J815 L784:L815 J825:J827 L825:L827 J840:J871 L840:L871" xr:uid="{00000000-0002-0000-0100-000004000000}">
      <formula1>13</formula1>
    </dataValidation>
  </dataValidations>
  <pageMargins left="0.74803149606299213" right="0.74803149606299213" top="0.98425196850393704" bottom="0.98425196850393704" header="0" footer="0"/>
  <pageSetup scale="70" orientation="landscape" horizontalDpi="4294967294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3:J738"/>
  <sheetViews>
    <sheetView topLeftCell="A713" workbookViewId="0">
      <selection activeCell="E743" sqref="E743"/>
    </sheetView>
  </sheetViews>
  <sheetFormatPr baseColWidth="10" defaultRowHeight="13.2"/>
  <cols>
    <col min="1" max="1" width="3" customWidth="1"/>
    <col min="4" max="4" width="13.33203125" customWidth="1"/>
    <col min="5" max="7" width="11.88671875" customWidth="1"/>
    <col min="8" max="8" width="15.6640625" customWidth="1"/>
  </cols>
  <sheetData>
    <row r="3" spans="2:8" ht="15.6">
      <c r="B3" s="116"/>
      <c r="C3" s="117" t="s">
        <v>14</v>
      </c>
      <c r="D3" s="117"/>
      <c r="E3" s="117"/>
      <c r="F3" s="117" t="s">
        <v>79</v>
      </c>
      <c r="G3" s="117"/>
      <c r="H3" s="117"/>
    </row>
    <row r="4" spans="2:8" ht="15.6">
      <c r="B4" s="116"/>
      <c r="C4" s="117" t="s">
        <v>32</v>
      </c>
      <c r="D4" s="117"/>
      <c r="E4" s="117"/>
      <c r="F4" s="117" t="s">
        <v>80</v>
      </c>
      <c r="G4" s="117"/>
      <c r="H4" s="117"/>
    </row>
    <row r="5" spans="2:8" ht="19.2">
      <c r="B5" s="116" t="s">
        <v>16</v>
      </c>
      <c r="C5" s="201" t="s">
        <v>82</v>
      </c>
      <c r="D5" s="116" t="s">
        <v>33</v>
      </c>
      <c r="E5" s="202">
        <v>2022</v>
      </c>
      <c r="F5" s="117" t="s">
        <v>34</v>
      </c>
      <c r="G5" s="118" t="s">
        <v>78</v>
      </c>
      <c r="H5" s="116"/>
    </row>
    <row r="6" spans="2:8">
      <c r="B6" s="82"/>
      <c r="C6" s="82"/>
      <c r="D6" s="82"/>
      <c r="E6" s="82"/>
      <c r="F6" s="82"/>
      <c r="G6" s="82"/>
      <c r="H6" s="82"/>
    </row>
    <row r="7" spans="2:8">
      <c r="B7" s="126" t="s">
        <v>0</v>
      </c>
      <c r="C7" s="126" t="s">
        <v>35</v>
      </c>
      <c r="D7" s="126" t="s">
        <v>36</v>
      </c>
      <c r="E7" s="126" t="s">
        <v>37</v>
      </c>
      <c r="F7" s="126" t="s">
        <v>38</v>
      </c>
      <c r="G7" s="126" t="s">
        <v>38</v>
      </c>
      <c r="H7" s="126"/>
    </row>
    <row r="8" spans="2:8">
      <c r="B8" s="127"/>
      <c r="C8" s="127"/>
      <c r="D8" s="127"/>
      <c r="E8" s="127" t="s">
        <v>5</v>
      </c>
      <c r="F8" s="127" t="s">
        <v>4</v>
      </c>
      <c r="G8" s="127" t="s">
        <v>10</v>
      </c>
      <c r="H8" s="127"/>
    </row>
    <row r="9" spans="2:8" ht="16.2">
      <c r="B9" s="221">
        <v>44564</v>
      </c>
      <c r="C9" s="200">
        <v>892</v>
      </c>
      <c r="D9" s="200">
        <v>892</v>
      </c>
      <c r="E9" s="27">
        <v>6.75</v>
      </c>
      <c r="F9" s="27"/>
      <c r="G9" s="27">
        <f>E9+F9</f>
        <v>6.75</v>
      </c>
      <c r="H9" s="207"/>
    </row>
    <row r="10" spans="2:8" ht="16.2">
      <c r="B10" s="222">
        <v>44565</v>
      </c>
      <c r="C10" s="200">
        <v>893</v>
      </c>
      <c r="D10" s="200">
        <v>893</v>
      </c>
      <c r="E10" s="27">
        <v>14.25</v>
      </c>
      <c r="F10" s="27"/>
      <c r="G10" s="27">
        <f>E10+F10</f>
        <v>14.25</v>
      </c>
      <c r="H10" s="1"/>
    </row>
    <row r="11" spans="2:8" ht="16.2">
      <c r="B11" s="222">
        <v>44566</v>
      </c>
      <c r="C11" s="200">
        <v>894</v>
      </c>
      <c r="D11" s="200">
        <v>894</v>
      </c>
      <c r="E11" s="27">
        <v>4.0999999999999996</v>
      </c>
      <c r="G11" s="27">
        <f t="shared" ref="G11:G44" si="0">E11+F11</f>
        <v>4.0999999999999996</v>
      </c>
      <c r="H11" s="1"/>
    </row>
    <row r="12" spans="2:8" ht="16.2">
      <c r="B12" s="222">
        <v>44567</v>
      </c>
      <c r="C12" s="200">
        <v>895</v>
      </c>
      <c r="D12" s="200">
        <v>895</v>
      </c>
      <c r="E12" s="27">
        <v>1.9</v>
      </c>
      <c r="G12" s="27">
        <f t="shared" si="0"/>
        <v>1.9</v>
      </c>
      <c r="H12" s="1"/>
    </row>
    <row r="13" spans="2:8" ht="16.2">
      <c r="B13" s="222">
        <v>44570</v>
      </c>
      <c r="C13" s="200">
        <v>896</v>
      </c>
      <c r="D13" s="200">
        <v>896</v>
      </c>
      <c r="E13" s="27">
        <v>6.6</v>
      </c>
      <c r="G13" s="27">
        <f t="shared" si="0"/>
        <v>6.6</v>
      </c>
      <c r="H13" s="1"/>
    </row>
    <row r="14" spans="2:8" ht="16.2">
      <c r="B14" s="222">
        <v>44571</v>
      </c>
      <c r="C14" s="200">
        <v>897</v>
      </c>
      <c r="D14" s="200">
        <v>898</v>
      </c>
      <c r="E14" s="27">
        <v>16.75</v>
      </c>
      <c r="G14" s="27">
        <f t="shared" si="0"/>
        <v>16.75</v>
      </c>
      <c r="H14" s="1"/>
    </row>
    <row r="15" spans="2:8" ht="16.2">
      <c r="B15" s="222">
        <v>44573</v>
      </c>
      <c r="C15" s="200">
        <v>899</v>
      </c>
      <c r="D15" s="200">
        <v>912</v>
      </c>
      <c r="E15" s="27">
        <v>157.9</v>
      </c>
      <c r="G15" s="27">
        <f t="shared" si="0"/>
        <v>157.9</v>
      </c>
      <c r="H15" s="1"/>
    </row>
    <row r="16" spans="2:8" ht="16.2">
      <c r="B16" s="222">
        <v>44575</v>
      </c>
      <c r="C16" s="200">
        <v>913</v>
      </c>
      <c r="D16" s="200">
        <v>928</v>
      </c>
      <c r="E16" s="27">
        <v>173.2</v>
      </c>
      <c r="G16" s="27">
        <f t="shared" si="0"/>
        <v>173.2</v>
      </c>
      <c r="H16" s="1"/>
    </row>
    <row r="17" spans="2:8" ht="16.2">
      <c r="B17" s="222">
        <v>44580</v>
      </c>
      <c r="C17" s="200">
        <v>929</v>
      </c>
      <c r="D17" s="200">
        <v>941</v>
      </c>
      <c r="E17" s="27">
        <v>140.05000000000001</v>
      </c>
      <c r="G17" s="27">
        <f t="shared" si="0"/>
        <v>140.05000000000001</v>
      </c>
      <c r="H17" s="1"/>
    </row>
    <row r="18" spans="2:8" ht="16.2">
      <c r="B18" s="222">
        <v>44582</v>
      </c>
      <c r="C18" s="200">
        <v>942</v>
      </c>
      <c r="D18" s="200">
        <v>956</v>
      </c>
      <c r="E18" s="27">
        <v>171.4</v>
      </c>
      <c r="G18" s="27">
        <f t="shared" si="0"/>
        <v>171.4</v>
      </c>
      <c r="H18" s="1"/>
    </row>
    <row r="19" spans="2:8" ht="16.2">
      <c r="B19" s="222">
        <v>44587</v>
      </c>
      <c r="C19" s="200">
        <v>957</v>
      </c>
      <c r="D19" s="200">
        <v>971</v>
      </c>
      <c r="E19" s="27">
        <v>162.80000000000001</v>
      </c>
      <c r="G19" s="27">
        <f t="shared" si="0"/>
        <v>162.80000000000001</v>
      </c>
      <c r="H19" s="1"/>
    </row>
    <row r="20" spans="2:8" ht="16.2">
      <c r="B20" s="222">
        <v>44589</v>
      </c>
      <c r="C20" s="200">
        <v>972</v>
      </c>
      <c r="D20" s="200">
        <v>986</v>
      </c>
      <c r="E20" s="27">
        <v>173.45</v>
      </c>
      <c r="G20" s="27">
        <f t="shared" si="0"/>
        <v>173.45</v>
      </c>
      <c r="H20" s="1"/>
    </row>
    <row r="21" spans="2:8" ht="16.2">
      <c r="B21" s="222">
        <v>44566</v>
      </c>
      <c r="C21" s="223">
        <v>181</v>
      </c>
      <c r="D21" s="200">
        <v>183</v>
      </c>
      <c r="E21" s="27">
        <v>60.9</v>
      </c>
      <c r="G21" s="27">
        <f t="shared" si="0"/>
        <v>60.9</v>
      </c>
      <c r="H21" s="1"/>
    </row>
    <row r="22" spans="2:8" ht="16.2">
      <c r="B22" s="222">
        <v>44568</v>
      </c>
      <c r="C22" s="223">
        <v>184</v>
      </c>
      <c r="D22" s="200">
        <v>184</v>
      </c>
      <c r="E22" s="27">
        <v>28.5</v>
      </c>
      <c r="G22" s="27">
        <f t="shared" si="0"/>
        <v>28.5</v>
      </c>
      <c r="H22" s="1"/>
    </row>
    <row r="23" spans="2:8" ht="16.2">
      <c r="B23" s="222">
        <v>44569</v>
      </c>
      <c r="C23" s="223">
        <v>185</v>
      </c>
      <c r="D23" s="200">
        <v>185</v>
      </c>
      <c r="E23" s="27">
        <v>30.25</v>
      </c>
      <c r="G23" s="27">
        <f t="shared" si="0"/>
        <v>30.25</v>
      </c>
      <c r="H23" s="1"/>
    </row>
    <row r="24" spans="2:8" ht="16.2">
      <c r="B24" s="222">
        <v>44570</v>
      </c>
      <c r="C24" s="223">
        <v>186</v>
      </c>
      <c r="D24" s="200">
        <v>186</v>
      </c>
      <c r="E24" s="27">
        <v>58.25</v>
      </c>
      <c r="G24" s="27">
        <f t="shared" si="0"/>
        <v>58.25</v>
      </c>
      <c r="H24" s="1"/>
    </row>
    <row r="25" spans="2:8" ht="16.2">
      <c r="B25" s="222">
        <v>44572</v>
      </c>
      <c r="C25" s="223">
        <v>187</v>
      </c>
      <c r="D25" s="200">
        <v>187</v>
      </c>
      <c r="E25" s="27">
        <v>31.25</v>
      </c>
      <c r="G25" s="27">
        <f t="shared" si="0"/>
        <v>31.25</v>
      </c>
      <c r="H25" s="1"/>
    </row>
    <row r="26" spans="2:8" ht="16.2">
      <c r="B26" s="222">
        <v>44574</v>
      </c>
      <c r="C26" s="223">
        <v>188</v>
      </c>
      <c r="D26" s="200">
        <v>190</v>
      </c>
      <c r="E26" s="27">
        <v>78.75</v>
      </c>
      <c r="G26" s="27">
        <f t="shared" si="0"/>
        <v>78.75</v>
      </c>
      <c r="H26" s="1"/>
    </row>
    <row r="27" spans="2:8" ht="16.2">
      <c r="B27" s="222">
        <v>44575</v>
      </c>
      <c r="C27" s="223">
        <v>191</v>
      </c>
      <c r="D27" s="200">
        <v>192</v>
      </c>
      <c r="E27" s="27">
        <v>33.700000000000003</v>
      </c>
      <c r="G27" s="27">
        <f t="shared" si="0"/>
        <v>33.700000000000003</v>
      </c>
      <c r="H27" s="1"/>
    </row>
    <row r="28" spans="2:8" ht="16.2">
      <c r="B28" s="222">
        <v>44576</v>
      </c>
      <c r="C28" s="223">
        <v>193</v>
      </c>
      <c r="D28" s="200">
        <v>194</v>
      </c>
      <c r="E28" s="27">
        <v>69.95</v>
      </c>
      <c r="G28" s="27">
        <f t="shared" si="0"/>
        <v>69.95</v>
      </c>
      <c r="H28" s="1"/>
    </row>
    <row r="29" spans="2:8" ht="16.2">
      <c r="B29" s="222">
        <v>44577</v>
      </c>
      <c r="C29" s="223">
        <v>195</v>
      </c>
      <c r="D29" s="223">
        <v>195</v>
      </c>
      <c r="E29" s="27">
        <v>14.25</v>
      </c>
      <c r="G29" s="27">
        <f t="shared" si="0"/>
        <v>14.25</v>
      </c>
      <c r="H29" s="1"/>
    </row>
    <row r="30" spans="2:8" ht="16.2">
      <c r="B30" s="222">
        <v>44578</v>
      </c>
      <c r="C30" s="223">
        <v>196</v>
      </c>
      <c r="D30" s="223">
        <v>196</v>
      </c>
      <c r="E30" s="27">
        <v>2.75</v>
      </c>
      <c r="G30" s="27">
        <f t="shared" si="0"/>
        <v>2.75</v>
      </c>
      <c r="H30" s="1"/>
    </row>
    <row r="31" spans="2:8" ht="16.2">
      <c r="B31" s="222">
        <v>44579</v>
      </c>
      <c r="C31" s="223">
        <v>197</v>
      </c>
      <c r="D31" s="200">
        <v>198</v>
      </c>
      <c r="E31" s="27">
        <v>26.6</v>
      </c>
      <c r="G31" s="27">
        <f t="shared" si="0"/>
        <v>26.6</v>
      </c>
      <c r="H31" s="1"/>
    </row>
    <row r="32" spans="2:8" ht="16.2">
      <c r="B32" s="222">
        <v>44580</v>
      </c>
      <c r="C32" s="223">
        <v>199</v>
      </c>
      <c r="D32" s="200">
        <v>200</v>
      </c>
      <c r="E32" s="27">
        <v>47.65</v>
      </c>
      <c r="G32" s="27">
        <f t="shared" si="0"/>
        <v>47.65</v>
      </c>
      <c r="H32" s="1"/>
    </row>
    <row r="33" spans="2:8" ht="16.2">
      <c r="B33" s="222">
        <v>44581</v>
      </c>
      <c r="C33" s="223">
        <v>201</v>
      </c>
      <c r="D33" s="200">
        <v>204</v>
      </c>
      <c r="E33" s="27">
        <v>108.9</v>
      </c>
      <c r="G33" s="27">
        <f t="shared" si="0"/>
        <v>108.9</v>
      </c>
      <c r="H33" s="1"/>
    </row>
    <row r="34" spans="2:8" ht="16.2">
      <c r="B34" s="222">
        <v>44582</v>
      </c>
      <c r="C34" s="223">
        <v>205</v>
      </c>
      <c r="D34" s="200">
        <v>206</v>
      </c>
      <c r="E34" s="27">
        <v>49.95</v>
      </c>
      <c r="G34" s="27">
        <f t="shared" si="0"/>
        <v>49.95</v>
      </c>
      <c r="H34" s="1"/>
    </row>
    <row r="35" spans="2:8" ht="16.2">
      <c r="B35" s="222">
        <v>44583</v>
      </c>
      <c r="C35" s="223">
        <v>207</v>
      </c>
      <c r="D35" s="200">
        <v>209</v>
      </c>
      <c r="E35" s="27">
        <v>157</v>
      </c>
      <c r="G35" s="27">
        <f t="shared" si="0"/>
        <v>157</v>
      </c>
      <c r="H35" s="1"/>
    </row>
    <row r="36" spans="2:8" ht="16.2">
      <c r="B36" s="222">
        <v>44584</v>
      </c>
      <c r="C36" s="223">
        <v>210</v>
      </c>
      <c r="D36" s="223">
        <v>210</v>
      </c>
      <c r="E36" s="27">
        <v>13.5</v>
      </c>
      <c r="G36" s="27">
        <f t="shared" si="0"/>
        <v>13.5</v>
      </c>
      <c r="H36" s="1"/>
    </row>
    <row r="37" spans="2:8" ht="16.2">
      <c r="B37" s="222">
        <v>44585</v>
      </c>
      <c r="C37" s="223">
        <v>211</v>
      </c>
      <c r="D37" s="223">
        <v>211</v>
      </c>
      <c r="E37" s="27">
        <v>35</v>
      </c>
      <c r="G37" s="27">
        <f t="shared" si="0"/>
        <v>35</v>
      </c>
      <c r="H37" s="1"/>
    </row>
    <row r="38" spans="2:8" ht="16.2">
      <c r="B38" s="222">
        <v>44586</v>
      </c>
      <c r="C38" s="223">
        <v>212</v>
      </c>
      <c r="D38" s="200">
        <v>213</v>
      </c>
      <c r="E38" s="27">
        <v>44.75</v>
      </c>
      <c r="G38" s="27">
        <f t="shared" si="0"/>
        <v>44.75</v>
      </c>
      <c r="H38" s="1"/>
    </row>
    <row r="39" spans="2:8" ht="16.2">
      <c r="B39" s="222">
        <v>44587</v>
      </c>
      <c r="C39" s="223">
        <v>214</v>
      </c>
      <c r="D39" s="223">
        <v>214</v>
      </c>
      <c r="E39" s="27">
        <v>15.75</v>
      </c>
      <c r="G39" s="27">
        <f t="shared" si="0"/>
        <v>15.75</v>
      </c>
      <c r="H39" s="1"/>
    </row>
    <row r="40" spans="2:8" ht="16.2">
      <c r="B40" s="222">
        <v>44588</v>
      </c>
      <c r="C40" s="223">
        <v>215</v>
      </c>
      <c r="D40" s="200">
        <v>216</v>
      </c>
      <c r="E40" s="27">
        <v>32.049999999999997</v>
      </c>
      <c r="G40" s="27">
        <f t="shared" si="0"/>
        <v>32.049999999999997</v>
      </c>
      <c r="H40" s="1"/>
    </row>
    <row r="41" spans="2:8" ht="16.2">
      <c r="B41" s="222">
        <v>44589</v>
      </c>
      <c r="C41" s="223">
        <v>217</v>
      </c>
      <c r="D41" s="200">
        <v>218</v>
      </c>
      <c r="E41" s="27">
        <v>38.25</v>
      </c>
      <c r="G41" s="27">
        <f t="shared" si="0"/>
        <v>38.25</v>
      </c>
      <c r="H41" s="1"/>
    </row>
    <row r="42" spans="2:8" ht="16.2">
      <c r="B42" s="222">
        <v>44590</v>
      </c>
      <c r="C42" s="223">
        <v>219</v>
      </c>
      <c r="D42" s="200">
        <v>220</v>
      </c>
      <c r="E42" s="27">
        <v>47</v>
      </c>
      <c r="G42" s="27">
        <f t="shared" si="0"/>
        <v>47</v>
      </c>
      <c r="H42" s="1"/>
    </row>
    <row r="43" spans="2:8" ht="16.2">
      <c r="B43" s="222">
        <v>44591</v>
      </c>
      <c r="C43" s="223">
        <v>221</v>
      </c>
      <c r="D43" s="200">
        <v>222</v>
      </c>
      <c r="E43" s="27">
        <v>19.350000000000001</v>
      </c>
      <c r="G43" s="27">
        <f t="shared" si="0"/>
        <v>19.350000000000001</v>
      </c>
      <c r="H43" s="1"/>
    </row>
    <row r="44" spans="2:8" ht="16.2">
      <c r="B44" s="222">
        <v>44592</v>
      </c>
      <c r="C44" s="223">
        <v>223</v>
      </c>
      <c r="D44" s="200">
        <v>225</v>
      </c>
      <c r="E44" s="27">
        <v>73.25</v>
      </c>
      <c r="G44" s="27">
        <f t="shared" si="0"/>
        <v>73.25</v>
      </c>
      <c r="H44" s="1"/>
    </row>
    <row r="45" spans="2:8" ht="16.2">
      <c r="B45" s="123"/>
      <c r="C45" s="152"/>
      <c r="D45" s="124"/>
      <c r="E45" s="27"/>
      <c r="G45" s="27"/>
      <c r="H45" s="1"/>
    </row>
    <row r="46" spans="2:8" ht="13.8">
      <c r="B46" s="119"/>
      <c r="C46" s="120" t="s">
        <v>10</v>
      </c>
      <c r="D46" s="121"/>
      <c r="E46" s="159">
        <f>SUM(E9:E45)</f>
        <v>2146.7000000000003</v>
      </c>
      <c r="F46" s="159">
        <f>SUM(F10:F14)</f>
        <v>0</v>
      </c>
      <c r="G46" s="159">
        <f>SUM(G9:G45)</f>
        <v>2146.7000000000003</v>
      </c>
      <c r="H46" s="122"/>
    </row>
    <row r="47" spans="2:8">
      <c r="G47" s="28"/>
    </row>
    <row r="48" spans="2:8" ht="17.399999999999999">
      <c r="B48" s="83"/>
      <c r="C48" s="90" t="s">
        <v>39</v>
      </c>
      <c r="D48" s="90"/>
      <c r="E48" s="90"/>
      <c r="F48" s="90"/>
      <c r="G48" s="153">
        <f>+E46/1.13</f>
        <v>1899.7345132743367</v>
      </c>
    </row>
    <row r="49" spans="2:8" ht="18" thickBot="1">
      <c r="B49" s="83"/>
      <c r="C49" s="92" t="s">
        <v>40</v>
      </c>
      <c r="D49" s="90" t="s">
        <v>41</v>
      </c>
      <c r="E49" s="90"/>
      <c r="F49" s="90"/>
      <c r="G49" s="154">
        <f>+G48*0.13</f>
        <v>246.96548672566377</v>
      </c>
      <c r="H49" s="29"/>
    </row>
    <row r="50" spans="2:8" ht="18" thickTop="1">
      <c r="B50" s="83"/>
      <c r="C50" s="90"/>
      <c r="D50" s="90" t="s">
        <v>6</v>
      </c>
      <c r="E50" s="90"/>
      <c r="F50" s="90"/>
      <c r="G50" s="153">
        <f>SUM(G48:G49)</f>
        <v>2146.7000000000003</v>
      </c>
    </row>
    <row r="51" spans="2:8" ht="15.6">
      <c r="B51" s="83"/>
      <c r="C51" s="83"/>
      <c r="E51" s="83"/>
      <c r="F51" s="83"/>
      <c r="G51" s="83"/>
      <c r="H51" s="29"/>
    </row>
    <row r="52" spans="2:8" ht="16.2" thickBot="1">
      <c r="B52" s="91" t="s">
        <v>11</v>
      </c>
      <c r="C52" s="91"/>
      <c r="D52" s="83"/>
      <c r="E52" s="83"/>
      <c r="F52" s="83"/>
      <c r="G52" s="104"/>
    </row>
    <row r="53" spans="2:8" ht="17.399999999999999">
      <c r="B53" s="90" t="s">
        <v>84</v>
      </c>
      <c r="C53" s="83"/>
      <c r="D53" s="83"/>
      <c r="E53" s="83"/>
      <c r="F53" s="83"/>
      <c r="G53" s="83"/>
    </row>
    <row r="54" spans="2:8" ht="15.6">
      <c r="B54" s="83" t="s">
        <v>12</v>
      </c>
      <c r="C54" s="83"/>
      <c r="D54" s="83"/>
      <c r="E54" s="83"/>
      <c r="F54" s="83"/>
      <c r="G54" s="83"/>
    </row>
    <row r="57" spans="2:8">
      <c r="G57" s="30"/>
    </row>
    <row r="68" spans="2:8" ht="15.6">
      <c r="B68" s="116"/>
      <c r="C68" s="117" t="s">
        <v>14</v>
      </c>
      <c r="D68" s="117"/>
      <c r="E68" s="117"/>
      <c r="F68" s="117" t="s">
        <v>79</v>
      </c>
      <c r="G68" s="117"/>
      <c r="H68" s="117"/>
    </row>
    <row r="69" spans="2:8" ht="15.6">
      <c r="B69" s="116"/>
      <c r="C69" s="117" t="s">
        <v>32</v>
      </c>
      <c r="D69" s="117"/>
      <c r="E69" s="117"/>
      <c r="F69" s="117" t="s">
        <v>80</v>
      </c>
      <c r="G69" s="117"/>
      <c r="H69" s="117"/>
    </row>
    <row r="70" spans="2:8" ht="19.2">
      <c r="B70" s="116" t="s">
        <v>16</v>
      </c>
      <c r="C70" s="238" t="s">
        <v>43</v>
      </c>
      <c r="D70" s="116" t="s">
        <v>33</v>
      </c>
      <c r="E70" s="202">
        <v>2022</v>
      </c>
      <c r="F70" s="117" t="s">
        <v>34</v>
      </c>
      <c r="G70" s="118" t="s">
        <v>78</v>
      </c>
      <c r="H70" s="116"/>
    </row>
    <row r="71" spans="2:8">
      <c r="B71" s="82"/>
      <c r="C71" s="82"/>
      <c r="D71" s="82"/>
      <c r="E71" s="82"/>
      <c r="F71" s="82"/>
      <c r="G71" s="82"/>
      <c r="H71" s="82"/>
    </row>
    <row r="72" spans="2:8">
      <c r="B72" s="126" t="s">
        <v>0</v>
      </c>
      <c r="C72" s="126" t="s">
        <v>35</v>
      </c>
      <c r="D72" s="126" t="s">
        <v>36</v>
      </c>
      <c r="E72" s="126" t="s">
        <v>37</v>
      </c>
      <c r="F72" s="126" t="s">
        <v>38</v>
      </c>
      <c r="G72" s="126" t="s">
        <v>38</v>
      </c>
      <c r="H72" s="126"/>
    </row>
    <row r="73" spans="2:8">
      <c r="B73" s="127"/>
      <c r="C73" s="127"/>
      <c r="D73" s="127"/>
      <c r="E73" s="127" t="s">
        <v>5</v>
      </c>
      <c r="F73" s="127" t="s">
        <v>4</v>
      </c>
      <c r="G73" s="127" t="s">
        <v>10</v>
      </c>
      <c r="H73" s="127"/>
    </row>
    <row r="74" spans="2:8" ht="16.2">
      <c r="B74" s="221">
        <v>44594</v>
      </c>
      <c r="C74" s="200">
        <v>987</v>
      </c>
      <c r="D74" s="200">
        <v>1009</v>
      </c>
      <c r="E74" s="27">
        <v>254</v>
      </c>
      <c r="F74" s="27"/>
      <c r="G74" s="27">
        <f>E74+F74</f>
        <v>254</v>
      </c>
      <c r="H74" s="207"/>
    </row>
    <row r="75" spans="2:8" ht="16.2">
      <c r="B75" s="222">
        <v>44596</v>
      </c>
      <c r="C75" s="200">
        <v>1010</v>
      </c>
      <c r="D75" s="200">
        <v>1031</v>
      </c>
      <c r="E75" s="27">
        <v>255</v>
      </c>
      <c r="F75" s="27"/>
      <c r="G75" s="27">
        <f>E75+F75</f>
        <v>255</v>
      </c>
      <c r="H75" s="1"/>
    </row>
    <row r="76" spans="2:8" ht="16.2">
      <c r="B76" s="222">
        <v>44601</v>
      </c>
      <c r="C76" s="200">
        <v>1032</v>
      </c>
      <c r="D76" s="200">
        <v>1047</v>
      </c>
      <c r="E76" s="27">
        <v>170.75</v>
      </c>
      <c r="G76" s="27">
        <f t="shared" ref="G76:G108" si="1">E76+F76</f>
        <v>170.75</v>
      </c>
      <c r="H76" s="1"/>
    </row>
    <row r="77" spans="2:8" ht="16.2">
      <c r="B77" s="222">
        <v>44603</v>
      </c>
      <c r="C77" s="200">
        <v>1048</v>
      </c>
      <c r="D77" s="200">
        <v>1065</v>
      </c>
      <c r="E77" s="27">
        <v>203.75</v>
      </c>
      <c r="G77" s="27">
        <f t="shared" si="1"/>
        <v>203.75</v>
      </c>
      <c r="H77" s="1"/>
    </row>
    <row r="78" spans="2:8" ht="16.2">
      <c r="B78" s="222">
        <v>44608</v>
      </c>
      <c r="C78" s="200">
        <v>1066</v>
      </c>
      <c r="D78" s="200">
        <v>1097</v>
      </c>
      <c r="E78" s="27">
        <v>349</v>
      </c>
      <c r="G78" s="27">
        <f t="shared" si="1"/>
        <v>349</v>
      </c>
      <c r="H78" s="1"/>
    </row>
    <row r="79" spans="2:8" ht="16.2">
      <c r="B79" s="222">
        <v>44615</v>
      </c>
      <c r="C79" s="200">
        <v>1098</v>
      </c>
      <c r="D79" s="200">
        <v>1111</v>
      </c>
      <c r="E79" s="27">
        <v>160.25</v>
      </c>
      <c r="G79" s="27">
        <f t="shared" si="1"/>
        <v>160.25</v>
      </c>
      <c r="H79" s="1"/>
    </row>
    <row r="80" spans="2:8" ht="16.2">
      <c r="B80" s="222">
        <v>44617</v>
      </c>
      <c r="C80" s="200">
        <v>1112</v>
      </c>
      <c r="D80" s="200">
        <v>1128</v>
      </c>
      <c r="E80" s="27">
        <v>195.25</v>
      </c>
      <c r="G80" s="27">
        <f t="shared" si="1"/>
        <v>195.25</v>
      </c>
      <c r="H80" s="1"/>
    </row>
    <row r="81" spans="2:8" ht="16.2">
      <c r="B81" s="222">
        <v>44593</v>
      </c>
      <c r="C81" s="200">
        <v>227</v>
      </c>
      <c r="D81" s="200">
        <v>228</v>
      </c>
      <c r="E81" s="27">
        <v>66.55</v>
      </c>
      <c r="G81" s="27">
        <v>66.55</v>
      </c>
      <c r="H81" s="1"/>
    </row>
    <row r="82" spans="2:8" ht="16.2">
      <c r="B82" s="222">
        <v>44594</v>
      </c>
      <c r="C82" s="200">
        <v>229</v>
      </c>
      <c r="D82" s="200">
        <v>230</v>
      </c>
      <c r="E82" s="27">
        <v>102.55</v>
      </c>
      <c r="G82" s="27">
        <f t="shared" si="1"/>
        <v>102.55</v>
      </c>
      <c r="H82" s="1"/>
    </row>
    <row r="83" spans="2:8" ht="16.2">
      <c r="B83" s="222">
        <v>44595</v>
      </c>
      <c r="C83" s="200">
        <v>231</v>
      </c>
      <c r="D83" s="200">
        <v>233</v>
      </c>
      <c r="E83" s="27">
        <v>68.75</v>
      </c>
      <c r="G83" s="27">
        <f t="shared" si="1"/>
        <v>68.75</v>
      </c>
      <c r="H83" s="1"/>
    </row>
    <row r="84" spans="2:8" ht="16.2">
      <c r="B84" s="222">
        <v>44596</v>
      </c>
      <c r="C84" s="200">
        <v>234</v>
      </c>
      <c r="D84" s="200">
        <v>234</v>
      </c>
      <c r="E84" s="27">
        <v>22</v>
      </c>
      <c r="G84" s="27">
        <f t="shared" si="1"/>
        <v>22</v>
      </c>
      <c r="H84" s="1"/>
    </row>
    <row r="85" spans="2:8" ht="16.2">
      <c r="B85" s="222">
        <v>44597</v>
      </c>
      <c r="C85" s="200">
        <v>235</v>
      </c>
      <c r="D85" s="200">
        <v>236</v>
      </c>
      <c r="E85" s="27">
        <v>28.4</v>
      </c>
      <c r="G85" s="27">
        <f t="shared" si="1"/>
        <v>28.4</v>
      </c>
      <c r="H85" s="1"/>
    </row>
    <row r="86" spans="2:8" ht="16.2">
      <c r="B86" s="222">
        <v>44598</v>
      </c>
      <c r="C86" s="200">
        <v>237</v>
      </c>
      <c r="D86" s="200">
        <v>238</v>
      </c>
      <c r="E86" s="27">
        <v>30.5</v>
      </c>
      <c r="G86" s="27">
        <f t="shared" si="1"/>
        <v>30.5</v>
      </c>
      <c r="H86" s="1"/>
    </row>
    <row r="87" spans="2:8" ht="16.2">
      <c r="B87" s="222">
        <v>44599</v>
      </c>
      <c r="C87" s="200">
        <v>239</v>
      </c>
      <c r="D87" s="200">
        <v>240</v>
      </c>
      <c r="E87" s="27">
        <v>31.9</v>
      </c>
      <c r="G87" s="27">
        <f t="shared" si="1"/>
        <v>31.9</v>
      </c>
      <c r="H87" s="1"/>
    </row>
    <row r="88" spans="2:8" ht="16.2">
      <c r="B88" s="222">
        <v>44600</v>
      </c>
      <c r="C88" s="200">
        <v>241</v>
      </c>
      <c r="D88" s="200">
        <v>241</v>
      </c>
      <c r="E88" s="27">
        <v>7.95</v>
      </c>
      <c r="G88" s="27">
        <f t="shared" si="1"/>
        <v>7.95</v>
      </c>
      <c r="H88" s="1"/>
    </row>
    <row r="89" spans="2:8" ht="16.2">
      <c r="B89" s="222">
        <v>44601</v>
      </c>
      <c r="C89" s="200">
        <v>242</v>
      </c>
      <c r="D89" s="200">
        <v>242</v>
      </c>
      <c r="E89" s="27">
        <v>12</v>
      </c>
      <c r="G89" s="27">
        <f t="shared" si="1"/>
        <v>12</v>
      </c>
      <c r="H89" s="1"/>
    </row>
    <row r="90" spans="2:8" ht="16.2">
      <c r="B90" s="222">
        <v>44602</v>
      </c>
      <c r="C90" s="200">
        <v>243</v>
      </c>
      <c r="D90" s="200">
        <v>243</v>
      </c>
      <c r="E90" s="27">
        <v>14.6</v>
      </c>
      <c r="G90" s="27">
        <f t="shared" si="1"/>
        <v>14.6</v>
      </c>
      <c r="H90" s="1"/>
    </row>
    <row r="91" spans="2:8" ht="16.2">
      <c r="B91" s="222">
        <v>44603</v>
      </c>
      <c r="C91" s="200">
        <v>244</v>
      </c>
      <c r="D91" s="200">
        <v>245</v>
      </c>
      <c r="E91" s="27">
        <v>24.65</v>
      </c>
      <c r="G91" s="27">
        <f t="shared" si="1"/>
        <v>24.65</v>
      </c>
      <c r="H91" s="1"/>
    </row>
    <row r="92" spans="2:8" ht="16.2">
      <c r="B92" s="222">
        <v>44604</v>
      </c>
      <c r="C92" s="200">
        <v>246</v>
      </c>
      <c r="D92" s="200">
        <v>247</v>
      </c>
      <c r="E92" s="27">
        <v>62.1</v>
      </c>
      <c r="G92" s="27">
        <f t="shared" si="1"/>
        <v>62.1</v>
      </c>
      <c r="H92" s="1"/>
    </row>
    <row r="93" spans="2:8" ht="16.2">
      <c r="B93" s="222">
        <v>44605</v>
      </c>
      <c r="C93" s="200">
        <v>248</v>
      </c>
      <c r="D93" s="200">
        <v>248</v>
      </c>
      <c r="E93" s="27">
        <v>77.75</v>
      </c>
      <c r="G93" s="27">
        <f t="shared" si="1"/>
        <v>77.75</v>
      </c>
      <c r="H93" s="1"/>
    </row>
    <row r="94" spans="2:8" ht="16.2">
      <c r="B94" s="222">
        <v>44606</v>
      </c>
      <c r="C94" s="200">
        <v>249</v>
      </c>
      <c r="D94" s="200">
        <v>249</v>
      </c>
      <c r="E94" s="27">
        <v>13.1</v>
      </c>
      <c r="G94" s="27">
        <f t="shared" si="1"/>
        <v>13.1</v>
      </c>
      <c r="H94" s="1"/>
    </row>
    <row r="95" spans="2:8" ht="16.2">
      <c r="B95" s="222">
        <v>44607</v>
      </c>
      <c r="C95" s="200">
        <v>250</v>
      </c>
      <c r="D95" s="200">
        <v>250</v>
      </c>
      <c r="E95" s="27">
        <v>17.5</v>
      </c>
      <c r="G95" s="27">
        <f t="shared" si="1"/>
        <v>17.5</v>
      </c>
      <c r="H95" s="1"/>
    </row>
    <row r="96" spans="2:8" ht="16.2">
      <c r="B96" s="222">
        <v>44608</v>
      </c>
      <c r="C96" s="200">
        <v>1</v>
      </c>
      <c r="D96" s="200">
        <v>2</v>
      </c>
      <c r="E96" s="27">
        <v>47.6</v>
      </c>
      <c r="G96" s="27">
        <f t="shared" si="1"/>
        <v>47.6</v>
      </c>
      <c r="H96" s="1"/>
    </row>
    <row r="97" spans="2:8" ht="16.2">
      <c r="B97" s="222">
        <v>44609</v>
      </c>
      <c r="C97" s="200">
        <v>3</v>
      </c>
      <c r="D97" s="200">
        <v>4</v>
      </c>
      <c r="E97" s="27">
        <v>37.75</v>
      </c>
      <c r="G97" s="27">
        <f t="shared" si="1"/>
        <v>37.75</v>
      </c>
      <c r="H97" s="1"/>
    </row>
    <row r="98" spans="2:8" ht="16.2">
      <c r="B98" s="222">
        <v>44610</v>
      </c>
      <c r="C98" s="200">
        <v>5</v>
      </c>
      <c r="D98" s="200">
        <v>5</v>
      </c>
      <c r="E98" s="27">
        <v>22</v>
      </c>
      <c r="G98" s="27">
        <f t="shared" si="1"/>
        <v>22</v>
      </c>
      <c r="H98" s="1"/>
    </row>
    <row r="99" spans="2:8" ht="16.2">
      <c r="B99" s="222">
        <v>44611</v>
      </c>
      <c r="C99" s="200">
        <v>6</v>
      </c>
      <c r="D99" s="200">
        <v>7</v>
      </c>
      <c r="E99" s="27">
        <v>47.6</v>
      </c>
      <c r="G99" s="27">
        <f t="shared" si="1"/>
        <v>47.6</v>
      </c>
      <c r="H99" s="1"/>
    </row>
    <row r="100" spans="2:8" ht="16.2">
      <c r="B100" s="222">
        <v>44612</v>
      </c>
      <c r="C100" s="200">
        <v>8</v>
      </c>
      <c r="D100" s="200">
        <v>9</v>
      </c>
      <c r="E100" s="27">
        <v>23</v>
      </c>
      <c r="G100" s="27">
        <f t="shared" si="1"/>
        <v>23</v>
      </c>
      <c r="H100" s="1"/>
    </row>
    <row r="101" spans="2:8" ht="16.2">
      <c r="B101" s="222">
        <v>44613</v>
      </c>
      <c r="C101" s="200">
        <v>10</v>
      </c>
      <c r="D101" s="200">
        <v>11</v>
      </c>
      <c r="E101" s="27">
        <v>19.850000000000001</v>
      </c>
      <c r="G101" s="27">
        <f t="shared" si="1"/>
        <v>19.850000000000001</v>
      </c>
      <c r="H101" s="1"/>
    </row>
    <row r="102" spans="2:8" ht="16.2">
      <c r="B102" s="222">
        <v>44614</v>
      </c>
      <c r="C102" s="200">
        <v>12</v>
      </c>
      <c r="D102" s="200">
        <v>13</v>
      </c>
      <c r="E102" s="27">
        <v>20.5</v>
      </c>
      <c r="G102" s="27">
        <f t="shared" si="1"/>
        <v>20.5</v>
      </c>
      <c r="H102" s="1"/>
    </row>
    <row r="103" spans="2:8" ht="16.2">
      <c r="B103" s="222">
        <v>44615</v>
      </c>
      <c r="C103" s="200">
        <v>14</v>
      </c>
      <c r="D103" s="200">
        <v>15</v>
      </c>
      <c r="E103" s="27">
        <v>24.25</v>
      </c>
      <c r="G103" s="27">
        <f t="shared" si="1"/>
        <v>24.25</v>
      </c>
      <c r="H103" s="1"/>
    </row>
    <row r="104" spans="2:8" ht="16.2">
      <c r="B104" s="222">
        <v>44616</v>
      </c>
      <c r="C104" s="200">
        <v>16</v>
      </c>
      <c r="D104" s="200">
        <v>17</v>
      </c>
      <c r="E104" s="27">
        <v>47.4</v>
      </c>
      <c r="G104" s="27">
        <f t="shared" si="1"/>
        <v>47.4</v>
      </c>
      <c r="H104" s="1"/>
    </row>
    <row r="105" spans="2:8" ht="16.2">
      <c r="B105" s="222">
        <v>44617</v>
      </c>
      <c r="C105" s="200">
        <v>18</v>
      </c>
      <c r="D105" s="200">
        <v>20</v>
      </c>
      <c r="E105" s="27">
        <v>77.55</v>
      </c>
      <c r="G105" s="27">
        <f t="shared" si="1"/>
        <v>77.55</v>
      </c>
      <c r="H105" s="1"/>
    </row>
    <row r="106" spans="2:8" ht="16.2">
      <c r="B106" s="222">
        <v>44618</v>
      </c>
      <c r="C106" s="200">
        <v>21</v>
      </c>
      <c r="D106" s="200">
        <v>22</v>
      </c>
      <c r="E106" s="27">
        <v>44.8</v>
      </c>
      <c r="G106" s="27">
        <f t="shared" si="1"/>
        <v>44.8</v>
      </c>
      <c r="H106" s="1"/>
    </row>
    <row r="107" spans="2:8" ht="16.2">
      <c r="B107" s="222">
        <v>44619</v>
      </c>
      <c r="C107" s="200">
        <v>23</v>
      </c>
      <c r="D107" s="200">
        <v>25</v>
      </c>
      <c r="E107" s="27">
        <v>70.45</v>
      </c>
      <c r="G107" s="27">
        <f t="shared" si="1"/>
        <v>70.45</v>
      </c>
      <c r="H107" s="1"/>
    </row>
    <row r="108" spans="2:8" ht="16.2">
      <c r="B108" s="222">
        <v>44620</v>
      </c>
      <c r="C108" s="200">
        <v>26</v>
      </c>
      <c r="D108" s="200">
        <v>27</v>
      </c>
      <c r="E108" s="27">
        <v>46.3</v>
      </c>
      <c r="G108" s="27">
        <f t="shared" si="1"/>
        <v>46.3</v>
      </c>
      <c r="H108" s="1"/>
    </row>
    <row r="109" spans="2:8" ht="16.2">
      <c r="B109" s="123"/>
      <c r="C109" s="152"/>
      <c r="D109" s="124"/>
      <c r="E109" s="27"/>
      <c r="G109" s="27"/>
      <c r="H109" s="1"/>
    </row>
    <row r="110" spans="2:8" ht="13.8">
      <c r="B110" s="119"/>
      <c r="C110" s="120" t="s">
        <v>10</v>
      </c>
      <c r="D110" s="121"/>
      <c r="E110" s="159">
        <f>SUM(E74:E109)</f>
        <v>2697.3500000000004</v>
      </c>
      <c r="F110" s="159">
        <f>SUM(F75:F79)</f>
        <v>0</v>
      </c>
      <c r="G110" s="159">
        <f>SUM(G74:G109)</f>
        <v>2697.3500000000004</v>
      </c>
      <c r="H110" s="122"/>
    </row>
    <row r="111" spans="2:8">
      <c r="G111" s="28"/>
    </row>
    <row r="112" spans="2:8" ht="17.399999999999999">
      <c r="B112" s="83"/>
      <c r="C112" s="90" t="s">
        <v>39</v>
      </c>
      <c r="D112" s="90"/>
      <c r="E112" s="90"/>
      <c r="F112" s="90"/>
      <c r="G112" s="153">
        <f>+E110/1.13</f>
        <v>2387.035398230089</v>
      </c>
    </row>
    <row r="113" spans="2:8" ht="18" thickBot="1">
      <c r="B113" s="83"/>
      <c r="C113" s="92" t="s">
        <v>40</v>
      </c>
      <c r="D113" s="90" t="s">
        <v>41</v>
      </c>
      <c r="E113" s="90"/>
      <c r="F113" s="90"/>
      <c r="G113" s="154">
        <f>+G112*0.13</f>
        <v>310.31460176991158</v>
      </c>
      <c r="H113" s="29"/>
    </row>
    <row r="114" spans="2:8" ht="18" thickTop="1">
      <c r="B114" s="83"/>
      <c r="C114" s="90"/>
      <c r="D114" s="90" t="s">
        <v>6</v>
      </c>
      <c r="E114" s="90"/>
      <c r="F114" s="90"/>
      <c r="G114" s="153">
        <f>SUM(G112:G113)</f>
        <v>2697.3500000000004</v>
      </c>
    </row>
    <row r="115" spans="2:8" ht="15.6">
      <c r="B115" s="83"/>
      <c r="C115" s="83"/>
      <c r="E115" s="83"/>
      <c r="F115" s="83"/>
      <c r="G115" s="83"/>
      <c r="H115" s="29"/>
    </row>
    <row r="116" spans="2:8" ht="16.2" thickBot="1">
      <c r="B116" s="91" t="s">
        <v>11</v>
      </c>
      <c r="C116" s="91"/>
      <c r="D116" s="83"/>
      <c r="E116" s="83"/>
      <c r="F116" s="83"/>
      <c r="G116" s="104"/>
    </row>
    <row r="117" spans="2:8" ht="17.399999999999999">
      <c r="B117" s="90" t="s">
        <v>84</v>
      </c>
      <c r="C117" s="83"/>
      <c r="D117" s="83"/>
      <c r="E117" s="83"/>
      <c r="F117" s="83"/>
      <c r="G117" s="83"/>
    </row>
    <row r="118" spans="2:8" ht="15.6">
      <c r="B118" s="83" t="s">
        <v>12</v>
      </c>
      <c r="C118" s="83"/>
      <c r="D118" s="83"/>
      <c r="E118" s="83"/>
      <c r="F118" s="83"/>
      <c r="G118" s="83"/>
    </row>
    <row r="121" spans="2:8">
      <c r="G121" s="30"/>
    </row>
    <row r="127" spans="2:8" ht="15.6">
      <c r="B127" s="116"/>
      <c r="C127" s="117" t="s">
        <v>14</v>
      </c>
      <c r="D127" s="117"/>
      <c r="E127" s="117"/>
      <c r="F127" s="117" t="s">
        <v>79</v>
      </c>
      <c r="G127" s="117"/>
      <c r="H127" s="117"/>
    </row>
    <row r="128" spans="2:8" ht="15.6">
      <c r="B128" s="116"/>
      <c r="C128" s="117" t="s">
        <v>32</v>
      </c>
      <c r="D128" s="117"/>
      <c r="E128" s="117"/>
      <c r="F128" s="117" t="s">
        <v>80</v>
      </c>
      <c r="G128" s="117"/>
      <c r="H128" s="117"/>
    </row>
    <row r="129" spans="2:8" ht="19.2">
      <c r="B129" s="116" t="s">
        <v>16</v>
      </c>
      <c r="C129" s="238" t="s">
        <v>230</v>
      </c>
      <c r="D129" s="116" t="s">
        <v>33</v>
      </c>
      <c r="E129" s="202">
        <v>2022</v>
      </c>
      <c r="F129" s="117" t="s">
        <v>34</v>
      </c>
      <c r="G129" s="118" t="s">
        <v>78</v>
      </c>
      <c r="H129" s="116"/>
    </row>
    <row r="130" spans="2:8">
      <c r="B130" s="82"/>
      <c r="C130" s="82"/>
      <c r="D130" s="82"/>
      <c r="E130" s="82"/>
      <c r="F130" s="82"/>
      <c r="G130" s="82"/>
      <c r="H130" s="82"/>
    </row>
    <row r="131" spans="2:8">
      <c r="B131" s="126" t="s">
        <v>0</v>
      </c>
      <c r="C131" s="126" t="s">
        <v>35</v>
      </c>
      <c r="D131" s="126" t="s">
        <v>36</v>
      </c>
      <c r="E131" s="126" t="s">
        <v>37</v>
      </c>
      <c r="F131" s="126" t="s">
        <v>38</v>
      </c>
      <c r="G131" s="126" t="s">
        <v>38</v>
      </c>
      <c r="H131" s="126"/>
    </row>
    <row r="132" spans="2:8">
      <c r="B132" s="127"/>
      <c r="C132" s="127"/>
      <c r="D132" s="127"/>
      <c r="E132" s="127" t="s">
        <v>5</v>
      </c>
      <c r="F132" s="127" t="s">
        <v>4</v>
      </c>
      <c r="G132" s="127" t="s">
        <v>10</v>
      </c>
      <c r="H132" s="127"/>
    </row>
    <row r="133" spans="2:8" ht="16.2">
      <c r="B133" s="221">
        <v>44622</v>
      </c>
      <c r="C133" s="200">
        <v>1129</v>
      </c>
      <c r="D133" s="200">
        <v>1141</v>
      </c>
      <c r="E133" s="27">
        <v>143.5</v>
      </c>
      <c r="F133" s="27"/>
      <c r="G133" s="27">
        <f>E133+F133</f>
        <v>143.5</v>
      </c>
      <c r="H133" s="207"/>
    </row>
    <row r="134" spans="2:8" ht="16.2">
      <c r="B134" s="222">
        <v>44624</v>
      </c>
      <c r="C134" s="200">
        <v>1142</v>
      </c>
      <c r="D134" s="200">
        <v>1158</v>
      </c>
      <c r="E134" s="27">
        <v>189</v>
      </c>
      <c r="F134" s="27"/>
      <c r="G134" s="27">
        <f>E134+F134</f>
        <v>189</v>
      </c>
      <c r="H134" s="1"/>
    </row>
    <row r="135" spans="2:8" ht="16.2">
      <c r="B135" s="222">
        <v>44629</v>
      </c>
      <c r="C135" s="200">
        <v>1159</v>
      </c>
      <c r="D135" s="200">
        <v>1169</v>
      </c>
      <c r="E135" s="27">
        <v>126.25</v>
      </c>
      <c r="F135" s="27"/>
      <c r="G135" s="27">
        <f t="shared" ref="G135:G152" si="2">E135+F135</f>
        <v>126.25</v>
      </c>
      <c r="H135" s="1"/>
    </row>
    <row r="136" spans="2:8" ht="16.2">
      <c r="B136" s="222">
        <v>44631</v>
      </c>
      <c r="C136" s="200">
        <v>1170</v>
      </c>
      <c r="D136" s="200">
        <v>1186</v>
      </c>
      <c r="E136" s="27">
        <v>193.75</v>
      </c>
      <c r="F136" s="27"/>
      <c r="G136" s="27">
        <f t="shared" si="2"/>
        <v>193.75</v>
      </c>
      <c r="H136" s="1"/>
    </row>
    <row r="137" spans="2:8" ht="16.2">
      <c r="B137" s="222">
        <v>44636</v>
      </c>
      <c r="C137" s="200">
        <v>1187</v>
      </c>
      <c r="D137" s="200">
        <v>1198</v>
      </c>
      <c r="E137" s="27">
        <v>132.25</v>
      </c>
      <c r="F137" s="27"/>
      <c r="G137" s="27">
        <f t="shared" si="2"/>
        <v>132.25</v>
      </c>
      <c r="H137" s="1"/>
    </row>
    <row r="138" spans="2:8" ht="16.2">
      <c r="B138" s="222">
        <v>44638</v>
      </c>
      <c r="C138" s="200">
        <v>1199</v>
      </c>
      <c r="D138" s="200">
        <v>1216</v>
      </c>
      <c r="E138" s="27">
        <v>205</v>
      </c>
      <c r="F138" s="27"/>
      <c r="G138" s="27">
        <f t="shared" si="2"/>
        <v>205</v>
      </c>
      <c r="H138" s="1"/>
    </row>
    <row r="139" spans="2:8" ht="16.2">
      <c r="B139" s="222">
        <v>44643</v>
      </c>
      <c r="C139" s="200">
        <v>1217</v>
      </c>
      <c r="D139" s="200">
        <v>1231</v>
      </c>
      <c r="E139" s="27">
        <v>171.75</v>
      </c>
      <c r="F139" s="27"/>
      <c r="G139" s="27">
        <f t="shared" si="2"/>
        <v>171.75</v>
      </c>
      <c r="H139" s="1"/>
    </row>
    <row r="140" spans="2:8" ht="16.2">
      <c r="B140" s="222">
        <v>44645</v>
      </c>
      <c r="C140" s="200">
        <v>1232</v>
      </c>
      <c r="D140" s="200">
        <v>1249</v>
      </c>
      <c r="E140" s="27">
        <v>205</v>
      </c>
      <c r="F140" s="27"/>
      <c r="G140" s="27">
        <f t="shared" si="2"/>
        <v>205</v>
      </c>
      <c r="H140" s="1"/>
    </row>
    <row r="141" spans="2:8" ht="16.2">
      <c r="B141" s="222">
        <v>44650</v>
      </c>
      <c r="C141" s="200">
        <v>1250</v>
      </c>
      <c r="D141" s="200">
        <v>1262</v>
      </c>
      <c r="E141" s="27">
        <v>151</v>
      </c>
      <c r="F141" s="27"/>
      <c r="G141" s="27">
        <f t="shared" si="2"/>
        <v>151</v>
      </c>
      <c r="H141" s="1"/>
    </row>
    <row r="142" spans="2:8" ht="16.2">
      <c r="B142" s="222">
        <v>44621</v>
      </c>
      <c r="C142" s="200">
        <v>28</v>
      </c>
      <c r="D142" s="200">
        <v>29</v>
      </c>
      <c r="E142" s="27">
        <v>22.8</v>
      </c>
      <c r="F142" s="27"/>
      <c r="G142" s="27">
        <f t="shared" si="2"/>
        <v>22.8</v>
      </c>
      <c r="H142" s="1"/>
    </row>
    <row r="143" spans="2:8" ht="16.2">
      <c r="B143" s="222">
        <v>44622</v>
      </c>
      <c r="C143" s="200">
        <v>30</v>
      </c>
      <c r="D143" s="200">
        <v>31</v>
      </c>
      <c r="E143" s="27">
        <v>23.05</v>
      </c>
      <c r="F143" s="27"/>
      <c r="G143" s="27">
        <f t="shared" si="2"/>
        <v>23.05</v>
      </c>
      <c r="H143" s="1"/>
    </row>
    <row r="144" spans="2:8" ht="16.2">
      <c r="B144" s="222">
        <v>44623</v>
      </c>
      <c r="C144" s="200">
        <v>32</v>
      </c>
      <c r="D144" s="200">
        <v>34</v>
      </c>
      <c r="E144" s="27">
        <v>36.700000000000003</v>
      </c>
      <c r="F144" s="27"/>
      <c r="G144" s="27">
        <f t="shared" si="2"/>
        <v>36.700000000000003</v>
      </c>
      <c r="H144" s="1"/>
    </row>
    <row r="145" spans="2:8" ht="16.2">
      <c r="B145" s="222">
        <v>44624</v>
      </c>
      <c r="C145" s="200">
        <v>35</v>
      </c>
      <c r="D145" s="200">
        <v>36</v>
      </c>
      <c r="E145" s="27">
        <v>15.55</v>
      </c>
      <c r="F145" s="27"/>
      <c r="G145" s="27">
        <f t="shared" si="2"/>
        <v>15.55</v>
      </c>
      <c r="H145" s="1"/>
    </row>
    <row r="146" spans="2:8" ht="16.2">
      <c r="B146" s="222">
        <v>44625</v>
      </c>
      <c r="C146" s="200">
        <v>37</v>
      </c>
      <c r="D146" s="200">
        <v>39</v>
      </c>
      <c r="E146" s="27">
        <v>72.25</v>
      </c>
      <c r="F146" s="27"/>
      <c r="G146" s="27">
        <f t="shared" si="2"/>
        <v>72.25</v>
      </c>
      <c r="H146" s="1"/>
    </row>
    <row r="147" spans="2:8" ht="16.2">
      <c r="B147" s="222">
        <v>44626</v>
      </c>
      <c r="C147" s="200">
        <v>40</v>
      </c>
      <c r="D147" s="200">
        <v>41</v>
      </c>
      <c r="E147" s="27">
        <v>25.8</v>
      </c>
      <c r="F147" s="27"/>
      <c r="G147" s="27">
        <f t="shared" si="2"/>
        <v>25.8</v>
      </c>
      <c r="H147" s="1"/>
    </row>
    <row r="148" spans="2:8" ht="16.2">
      <c r="B148" s="222">
        <v>44627</v>
      </c>
      <c r="C148" s="200">
        <v>42</v>
      </c>
      <c r="D148" s="200">
        <v>43</v>
      </c>
      <c r="E148" s="27">
        <v>21.4</v>
      </c>
      <c r="F148" s="27"/>
      <c r="G148" s="27">
        <f t="shared" si="2"/>
        <v>21.4</v>
      </c>
      <c r="H148" s="1"/>
    </row>
    <row r="149" spans="2:8" ht="16.2">
      <c r="B149" s="222">
        <v>44628</v>
      </c>
      <c r="C149" s="200">
        <v>44</v>
      </c>
      <c r="D149" s="200">
        <v>44</v>
      </c>
      <c r="E149" s="27">
        <v>10</v>
      </c>
      <c r="F149" s="27"/>
      <c r="G149" s="27">
        <f t="shared" si="2"/>
        <v>10</v>
      </c>
      <c r="H149" s="1"/>
    </row>
    <row r="150" spans="2:8" ht="16.2">
      <c r="B150" s="222">
        <v>44629</v>
      </c>
      <c r="C150" s="200">
        <v>45</v>
      </c>
      <c r="D150" s="200">
        <v>45</v>
      </c>
      <c r="E150" s="27">
        <v>4.55</v>
      </c>
      <c r="F150" s="27"/>
      <c r="G150" s="27">
        <f t="shared" si="2"/>
        <v>4.55</v>
      </c>
      <c r="H150" s="1"/>
    </row>
    <row r="151" spans="2:8" ht="16.2">
      <c r="B151" s="222">
        <v>44630</v>
      </c>
      <c r="C151" s="200">
        <v>46</v>
      </c>
      <c r="D151" s="200">
        <v>47</v>
      </c>
      <c r="E151" s="27">
        <v>22.6</v>
      </c>
      <c r="F151" s="27"/>
      <c r="G151" s="27">
        <f t="shared" si="2"/>
        <v>22.6</v>
      </c>
      <c r="H151" s="1"/>
    </row>
    <row r="152" spans="2:8" ht="16.2">
      <c r="B152" s="222">
        <v>44631</v>
      </c>
      <c r="C152" s="200">
        <v>48</v>
      </c>
      <c r="D152" s="200">
        <v>48</v>
      </c>
      <c r="E152" s="27">
        <v>10.15</v>
      </c>
      <c r="F152" s="27"/>
      <c r="G152" s="27">
        <f t="shared" si="2"/>
        <v>10.15</v>
      </c>
      <c r="H152" s="1"/>
    </row>
    <row r="153" spans="2:8" ht="16.2">
      <c r="B153" s="222">
        <v>44632</v>
      </c>
      <c r="C153" s="200">
        <v>49</v>
      </c>
      <c r="D153" s="200">
        <v>52</v>
      </c>
      <c r="E153" s="27">
        <v>57.35</v>
      </c>
      <c r="F153" s="27"/>
      <c r="G153" s="27">
        <f t="shared" ref="G153:G168" si="3">E153+F153</f>
        <v>57.35</v>
      </c>
      <c r="H153" s="1"/>
    </row>
    <row r="154" spans="2:8" ht="16.2">
      <c r="B154" s="222">
        <v>44634</v>
      </c>
      <c r="C154" s="200">
        <v>53</v>
      </c>
      <c r="D154" s="200">
        <v>54</v>
      </c>
      <c r="E154" s="27">
        <v>13.1</v>
      </c>
      <c r="F154" s="27"/>
      <c r="G154" s="27">
        <f t="shared" si="3"/>
        <v>13.1</v>
      </c>
      <c r="H154" s="1"/>
    </row>
    <row r="155" spans="2:8" ht="16.2">
      <c r="B155" s="222">
        <v>44635</v>
      </c>
      <c r="C155" s="200">
        <v>55</v>
      </c>
      <c r="D155" s="200">
        <v>55</v>
      </c>
      <c r="E155" s="27">
        <v>9.25</v>
      </c>
      <c r="F155" s="27"/>
      <c r="G155" s="27">
        <f t="shared" si="3"/>
        <v>9.25</v>
      </c>
      <c r="H155" s="1"/>
    </row>
    <row r="156" spans="2:8" ht="16.2">
      <c r="B156" s="222">
        <v>44636</v>
      </c>
      <c r="C156" s="200">
        <v>56</v>
      </c>
      <c r="D156" s="200">
        <v>57</v>
      </c>
      <c r="E156" s="27">
        <v>16.8</v>
      </c>
      <c r="F156" s="27"/>
      <c r="G156" s="27">
        <f t="shared" si="3"/>
        <v>16.8</v>
      </c>
      <c r="H156" s="1"/>
    </row>
    <row r="157" spans="2:8" ht="16.2">
      <c r="B157" s="222">
        <v>44637</v>
      </c>
      <c r="C157" s="200">
        <v>58</v>
      </c>
      <c r="D157" s="200">
        <v>59</v>
      </c>
      <c r="E157" s="27">
        <v>64.099999999999994</v>
      </c>
      <c r="F157" s="27"/>
      <c r="G157" s="27">
        <f t="shared" si="3"/>
        <v>64.099999999999994</v>
      </c>
      <c r="H157" s="1"/>
    </row>
    <row r="158" spans="2:8" ht="16.2">
      <c r="B158" s="222">
        <v>44638</v>
      </c>
      <c r="C158" s="200">
        <v>60</v>
      </c>
      <c r="D158" s="200">
        <v>61</v>
      </c>
      <c r="E158" s="27">
        <v>38</v>
      </c>
      <c r="F158" s="27"/>
      <c r="G158" s="27">
        <f t="shared" si="3"/>
        <v>38</v>
      </c>
      <c r="H158" s="1"/>
    </row>
    <row r="159" spans="2:8" ht="16.2">
      <c r="B159" s="222">
        <v>44639</v>
      </c>
      <c r="C159" s="200">
        <v>62</v>
      </c>
      <c r="D159" s="200">
        <v>63</v>
      </c>
      <c r="E159" s="27">
        <v>32.549999999999997</v>
      </c>
      <c r="F159" s="27"/>
      <c r="G159" s="27">
        <f t="shared" si="3"/>
        <v>32.549999999999997</v>
      </c>
      <c r="H159" s="1"/>
    </row>
    <row r="160" spans="2:8" ht="16.2">
      <c r="B160" s="222">
        <v>44640</v>
      </c>
      <c r="C160" s="200">
        <v>64</v>
      </c>
      <c r="D160" s="200">
        <v>65</v>
      </c>
      <c r="E160" s="27">
        <v>27.95</v>
      </c>
      <c r="F160" s="27"/>
      <c r="G160" s="27">
        <f t="shared" si="3"/>
        <v>27.95</v>
      </c>
      <c r="H160" s="1"/>
    </row>
    <row r="161" spans="2:8" ht="16.2">
      <c r="B161" s="222">
        <v>44641</v>
      </c>
      <c r="C161" s="200">
        <v>66</v>
      </c>
      <c r="D161" s="200">
        <v>67</v>
      </c>
      <c r="E161" s="27">
        <v>20.25</v>
      </c>
      <c r="F161" s="27"/>
      <c r="G161" s="27">
        <f t="shared" si="3"/>
        <v>20.25</v>
      </c>
      <c r="H161" s="1"/>
    </row>
    <row r="162" spans="2:8" ht="16.2">
      <c r="B162" s="222">
        <v>44642</v>
      </c>
      <c r="C162" s="200">
        <v>68</v>
      </c>
      <c r="D162" s="200">
        <v>69</v>
      </c>
      <c r="E162" s="27">
        <v>29.25</v>
      </c>
      <c r="F162" s="27"/>
      <c r="G162" s="27">
        <f t="shared" si="3"/>
        <v>29.25</v>
      </c>
      <c r="H162" s="1"/>
    </row>
    <row r="163" spans="2:8" ht="16.2">
      <c r="B163" s="222">
        <v>44643</v>
      </c>
      <c r="C163" s="200">
        <v>70</v>
      </c>
      <c r="D163" s="200">
        <v>71</v>
      </c>
      <c r="E163" s="27">
        <v>22.95</v>
      </c>
      <c r="F163" s="27"/>
      <c r="G163" s="27">
        <f t="shared" si="3"/>
        <v>22.95</v>
      </c>
      <c r="H163" s="1"/>
    </row>
    <row r="164" spans="2:8" ht="16.2">
      <c r="B164" s="222">
        <v>44645</v>
      </c>
      <c r="C164" s="200">
        <v>72</v>
      </c>
      <c r="D164" s="200">
        <v>74</v>
      </c>
      <c r="E164" s="27">
        <v>41.15</v>
      </c>
      <c r="F164" s="27"/>
      <c r="G164" s="27">
        <f t="shared" si="3"/>
        <v>41.15</v>
      </c>
      <c r="H164" s="1"/>
    </row>
    <row r="165" spans="2:8" ht="16.2">
      <c r="B165" s="222">
        <v>44646</v>
      </c>
      <c r="C165" s="200">
        <v>75</v>
      </c>
      <c r="D165" s="200">
        <v>77</v>
      </c>
      <c r="E165" s="27">
        <v>38.15</v>
      </c>
      <c r="F165" s="27"/>
      <c r="G165" s="27">
        <f t="shared" si="3"/>
        <v>38.15</v>
      </c>
      <c r="H165" s="1"/>
    </row>
    <row r="166" spans="2:8" ht="16.2">
      <c r="B166" s="222">
        <v>44647</v>
      </c>
      <c r="C166" s="200">
        <v>78</v>
      </c>
      <c r="D166" s="200">
        <v>79</v>
      </c>
      <c r="E166" s="27">
        <v>14.55</v>
      </c>
      <c r="F166" s="27"/>
      <c r="G166" s="27">
        <f t="shared" si="3"/>
        <v>14.55</v>
      </c>
      <c r="H166" s="1"/>
    </row>
    <row r="167" spans="2:8" ht="16.2">
      <c r="B167" s="222">
        <v>44648</v>
      </c>
      <c r="C167" s="200">
        <v>80</v>
      </c>
      <c r="D167" s="200">
        <v>82</v>
      </c>
      <c r="E167" s="27">
        <v>40.9</v>
      </c>
      <c r="F167" s="27"/>
      <c r="G167" s="27">
        <f t="shared" si="3"/>
        <v>40.9</v>
      </c>
      <c r="H167" s="1"/>
    </row>
    <row r="168" spans="2:8" ht="16.2">
      <c r="B168" s="222">
        <v>44650</v>
      </c>
      <c r="C168" s="200">
        <v>83</v>
      </c>
      <c r="D168" s="200">
        <v>87</v>
      </c>
      <c r="E168" s="27">
        <v>65.150000000000006</v>
      </c>
      <c r="F168" s="27"/>
      <c r="G168" s="27">
        <f t="shared" si="3"/>
        <v>65.150000000000006</v>
      </c>
      <c r="H168" s="1"/>
    </row>
    <row r="169" spans="2:8" ht="16.2">
      <c r="B169" s="123"/>
      <c r="C169" s="152"/>
      <c r="D169" s="124"/>
      <c r="E169" s="27"/>
      <c r="G169" s="27"/>
      <c r="H169" s="1"/>
    </row>
    <row r="170" spans="2:8" ht="13.8">
      <c r="B170" s="119"/>
      <c r="C170" s="120" t="s">
        <v>10</v>
      </c>
      <c r="D170" s="121"/>
      <c r="E170" s="159">
        <f>SUM(E133:E169)</f>
        <v>2313.8000000000002</v>
      </c>
      <c r="F170" s="159">
        <f>SUM(F134:F138)</f>
        <v>0</v>
      </c>
      <c r="G170" s="159">
        <f>SUM(G133:G169)</f>
        <v>2313.8000000000002</v>
      </c>
      <c r="H170" s="122"/>
    </row>
    <row r="171" spans="2:8">
      <c r="G171" s="28"/>
    </row>
    <row r="172" spans="2:8" ht="17.399999999999999">
      <c r="B172" s="83"/>
      <c r="C172" s="90" t="s">
        <v>39</v>
      </c>
      <c r="D172" s="90"/>
      <c r="E172" s="90"/>
      <c r="F172" s="90"/>
      <c r="G172" s="153">
        <f>+E170/1.13</f>
        <v>2047.6106194690269</v>
      </c>
    </row>
    <row r="173" spans="2:8" ht="18" thickBot="1">
      <c r="B173" s="83"/>
      <c r="C173" s="92" t="s">
        <v>40</v>
      </c>
      <c r="D173" s="90" t="s">
        <v>41</v>
      </c>
      <c r="E173" s="90"/>
      <c r="F173" s="90"/>
      <c r="G173" s="154">
        <f>+G172*0.13</f>
        <v>266.18938053097349</v>
      </c>
      <c r="H173" s="29"/>
    </row>
    <row r="174" spans="2:8" ht="18" thickTop="1">
      <c r="B174" s="83"/>
      <c r="C174" s="90"/>
      <c r="D174" s="90" t="s">
        <v>6</v>
      </c>
      <c r="E174" s="90"/>
      <c r="F174" s="90"/>
      <c r="G174" s="153">
        <f>SUM(G172:G173)</f>
        <v>2313.8000000000002</v>
      </c>
    </row>
    <row r="175" spans="2:8" ht="15.6">
      <c r="B175" s="83"/>
      <c r="C175" s="83"/>
      <c r="E175" s="83"/>
      <c r="F175" s="83"/>
      <c r="G175" s="83"/>
      <c r="H175" s="29"/>
    </row>
    <row r="176" spans="2:8" ht="16.2" thickBot="1">
      <c r="B176" s="91" t="s">
        <v>11</v>
      </c>
      <c r="C176" s="91"/>
      <c r="D176" s="83"/>
      <c r="E176" s="83"/>
      <c r="F176" s="83"/>
      <c r="G176" s="104"/>
    </row>
    <row r="177" spans="2:8" ht="17.399999999999999">
      <c r="B177" s="90" t="s">
        <v>84</v>
      </c>
      <c r="C177" s="83"/>
      <c r="D177" s="83"/>
      <c r="E177" s="83"/>
      <c r="F177" s="83"/>
      <c r="G177" s="83"/>
    </row>
    <row r="178" spans="2:8" ht="15.6">
      <c r="B178" s="83" t="s">
        <v>12</v>
      </c>
      <c r="C178" s="83"/>
      <c r="D178" s="83"/>
      <c r="E178" s="83"/>
      <c r="F178" s="83"/>
      <c r="G178" s="83"/>
    </row>
    <row r="192" spans="2:8" ht="15.6">
      <c r="B192" s="116"/>
      <c r="C192" s="117" t="s">
        <v>14</v>
      </c>
      <c r="D192" s="117"/>
      <c r="E192" s="117"/>
      <c r="F192" s="117" t="s">
        <v>79</v>
      </c>
      <c r="G192" s="117"/>
      <c r="H192" s="117"/>
    </row>
    <row r="193" spans="2:8" ht="15.6">
      <c r="B193" s="116"/>
      <c r="C193" s="117" t="s">
        <v>32</v>
      </c>
      <c r="D193" s="117"/>
      <c r="E193" s="117"/>
      <c r="F193" s="117" t="s">
        <v>80</v>
      </c>
      <c r="G193" s="117"/>
      <c r="H193" s="117"/>
    </row>
    <row r="194" spans="2:8" ht="19.2">
      <c r="B194" s="116" t="s">
        <v>16</v>
      </c>
      <c r="C194" s="238" t="s">
        <v>77</v>
      </c>
      <c r="D194" s="116" t="s">
        <v>33</v>
      </c>
      <c r="E194" s="202">
        <v>2022</v>
      </c>
      <c r="F194" s="117" t="s">
        <v>34</v>
      </c>
      <c r="G194" s="118" t="s">
        <v>78</v>
      </c>
      <c r="H194" s="116"/>
    </row>
    <row r="195" spans="2:8">
      <c r="B195" s="82"/>
      <c r="C195" s="82"/>
      <c r="D195" s="82"/>
      <c r="E195" s="82"/>
      <c r="F195" s="82"/>
      <c r="G195" s="82"/>
      <c r="H195" s="82"/>
    </row>
    <row r="196" spans="2:8">
      <c r="B196" s="126" t="s">
        <v>0</v>
      </c>
      <c r="C196" s="126" t="s">
        <v>35</v>
      </c>
      <c r="D196" s="126" t="s">
        <v>36</v>
      </c>
      <c r="E196" s="126" t="s">
        <v>37</v>
      </c>
      <c r="F196" s="126" t="s">
        <v>38</v>
      </c>
      <c r="G196" s="126" t="s">
        <v>38</v>
      </c>
      <c r="H196" s="126"/>
    </row>
    <row r="197" spans="2:8">
      <c r="B197" s="127"/>
      <c r="C197" s="127"/>
      <c r="D197" s="127"/>
      <c r="E197" s="127" t="s">
        <v>5</v>
      </c>
      <c r="F197" s="127" t="s">
        <v>4</v>
      </c>
      <c r="G197" s="127" t="s">
        <v>10</v>
      </c>
      <c r="H197" s="127"/>
    </row>
    <row r="198" spans="2:8" ht="16.2">
      <c r="B198" s="221">
        <v>44652</v>
      </c>
      <c r="C198" s="200">
        <v>1263</v>
      </c>
      <c r="D198" s="200">
        <v>1285</v>
      </c>
      <c r="E198" s="27">
        <v>261.25</v>
      </c>
      <c r="F198" s="27"/>
      <c r="G198" s="27">
        <f>E198+F198</f>
        <v>261.25</v>
      </c>
      <c r="H198" s="207"/>
    </row>
    <row r="199" spans="2:8" ht="16.2">
      <c r="B199" s="222">
        <v>44657</v>
      </c>
      <c r="C199" s="200">
        <v>1286</v>
      </c>
      <c r="D199" s="200">
        <v>1300</v>
      </c>
      <c r="E199" s="27">
        <v>162.75</v>
      </c>
      <c r="F199" s="27"/>
      <c r="G199" s="27">
        <f>E199+F199</f>
        <v>162.75</v>
      </c>
      <c r="H199" s="1"/>
    </row>
    <row r="200" spans="2:8" ht="16.2">
      <c r="B200" s="222">
        <v>44659</v>
      </c>
      <c r="C200" s="200">
        <v>1301</v>
      </c>
      <c r="D200" s="200">
        <v>1322</v>
      </c>
      <c r="E200" s="27">
        <v>251.5</v>
      </c>
      <c r="F200" s="27"/>
      <c r="G200" s="27">
        <f t="shared" ref="G200:G232" si="4">E200+F200</f>
        <v>251.5</v>
      </c>
      <c r="H200" s="1"/>
    </row>
    <row r="201" spans="2:8" ht="16.2">
      <c r="B201" s="222">
        <v>44664</v>
      </c>
      <c r="C201" s="200">
        <v>1323</v>
      </c>
      <c r="D201" s="200">
        <v>1339</v>
      </c>
      <c r="E201" s="27">
        <v>190.5</v>
      </c>
      <c r="F201" s="27"/>
      <c r="G201" s="27">
        <f t="shared" si="4"/>
        <v>190.5</v>
      </c>
      <c r="H201" s="1"/>
    </row>
    <row r="202" spans="2:8" ht="16.2">
      <c r="B202" s="222">
        <v>44671</v>
      </c>
      <c r="C202" s="200">
        <v>1340</v>
      </c>
      <c r="D202" s="200">
        <v>1352</v>
      </c>
      <c r="E202" s="27">
        <v>144.5</v>
      </c>
      <c r="F202" s="27"/>
      <c r="G202" s="27">
        <f t="shared" si="4"/>
        <v>144.5</v>
      </c>
      <c r="H202" s="1"/>
    </row>
    <row r="203" spans="2:8" ht="16.2">
      <c r="B203" s="222">
        <v>44673</v>
      </c>
      <c r="C203" s="200">
        <v>1353</v>
      </c>
      <c r="D203" s="200">
        <v>1365</v>
      </c>
      <c r="E203" s="27">
        <v>148</v>
      </c>
      <c r="F203" s="27"/>
      <c r="G203" s="27">
        <f t="shared" si="4"/>
        <v>148</v>
      </c>
      <c r="H203" s="1"/>
    </row>
    <row r="204" spans="2:8" ht="16.2">
      <c r="B204" s="222">
        <v>44678</v>
      </c>
      <c r="C204" s="200">
        <v>1366</v>
      </c>
      <c r="D204" s="200">
        <v>1375</v>
      </c>
      <c r="E204" s="27">
        <v>112.75</v>
      </c>
      <c r="F204" s="27"/>
      <c r="G204" s="27">
        <f t="shared" si="4"/>
        <v>112.75</v>
      </c>
      <c r="H204" s="1"/>
    </row>
    <row r="205" spans="2:8" ht="16.2">
      <c r="B205" s="222">
        <v>44680</v>
      </c>
      <c r="C205" s="200">
        <v>1376</v>
      </c>
      <c r="D205" s="200">
        <v>1391</v>
      </c>
      <c r="E205" s="27">
        <v>183.75</v>
      </c>
      <c r="F205" s="27"/>
      <c r="G205" s="27">
        <f t="shared" si="4"/>
        <v>183.75</v>
      </c>
      <c r="H205" s="1"/>
    </row>
    <row r="206" spans="2:8" ht="16.2">
      <c r="B206" s="222">
        <v>44652</v>
      </c>
      <c r="C206" s="200">
        <v>88</v>
      </c>
      <c r="D206" s="200">
        <v>88</v>
      </c>
      <c r="E206" s="27">
        <v>21.25</v>
      </c>
      <c r="F206" s="27"/>
      <c r="G206" s="27">
        <f t="shared" si="4"/>
        <v>21.25</v>
      </c>
      <c r="H206" s="1"/>
    </row>
    <row r="207" spans="2:8" ht="16.2">
      <c r="B207" s="222">
        <v>44653</v>
      </c>
      <c r="C207" s="200">
        <v>89</v>
      </c>
      <c r="D207" s="200">
        <v>91</v>
      </c>
      <c r="E207" s="27">
        <v>76.2</v>
      </c>
      <c r="F207" s="27"/>
      <c r="G207" s="27">
        <f t="shared" si="4"/>
        <v>76.2</v>
      </c>
      <c r="H207" s="1"/>
    </row>
    <row r="208" spans="2:8" ht="16.2">
      <c r="B208" s="222">
        <v>44654</v>
      </c>
      <c r="C208" s="200">
        <v>92</v>
      </c>
      <c r="D208" s="200">
        <v>94</v>
      </c>
      <c r="E208" s="27">
        <v>45.1</v>
      </c>
      <c r="F208" s="27"/>
      <c r="G208" s="27">
        <f t="shared" si="4"/>
        <v>45.1</v>
      </c>
      <c r="H208" s="1"/>
    </row>
    <row r="209" spans="2:8" ht="16.2">
      <c r="B209" s="222">
        <v>44655</v>
      </c>
      <c r="C209" s="200">
        <v>95</v>
      </c>
      <c r="D209" s="200">
        <v>95</v>
      </c>
      <c r="E209" s="27">
        <v>15.05</v>
      </c>
      <c r="F209" s="27"/>
      <c r="G209" s="27">
        <f t="shared" si="4"/>
        <v>15.05</v>
      </c>
      <c r="H209" s="1"/>
    </row>
    <row r="210" spans="2:8" ht="16.2">
      <c r="B210" s="222">
        <v>44656</v>
      </c>
      <c r="C210" s="200">
        <v>96</v>
      </c>
      <c r="D210" s="200">
        <v>96</v>
      </c>
      <c r="E210" s="27">
        <v>4.5</v>
      </c>
      <c r="F210" s="27"/>
      <c r="G210" s="27">
        <f t="shared" si="4"/>
        <v>4.5</v>
      </c>
      <c r="H210" s="1"/>
    </row>
    <row r="211" spans="2:8" ht="16.2">
      <c r="B211" s="222">
        <v>44657</v>
      </c>
      <c r="C211" s="200">
        <v>97</v>
      </c>
      <c r="D211" s="200">
        <v>99</v>
      </c>
      <c r="E211" s="27">
        <v>39.950000000000003</v>
      </c>
      <c r="F211" s="27"/>
      <c r="G211" s="27">
        <f t="shared" si="4"/>
        <v>39.950000000000003</v>
      </c>
      <c r="H211" s="1"/>
    </row>
    <row r="212" spans="2:8" ht="16.2">
      <c r="B212" s="222">
        <v>44658</v>
      </c>
      <c r="C212" s="200">
        <v>100</v>
      </c>
      <c r="D212" s="200">
        <v>101</v>
      </c>
      <c r="E212" s="27">
        <v>26.75</v>
      </c>
      <c r="F212" s="27"/>
      <c r="G212" s="27">
        <f t="shared" si="4"/>
        <v>26.75</v>
      </c>
      <c r="H212" s="1"/>
    </row>
    <row r="213" spans="2:8" ht="16.2">
      <c r="B213" s="222">
        <v>44659</v>
      </c>
      <c r="C213" s="200">
        <v>102</v>
      </c>
      <c r="D213" s="200">
        <v>104</v>
      </c>
      <c r="E213" s="27">
        <v>93.65</v>
      </c>
      <c r="F213" s="27"/>
      <c r="G213" s="27">
        <f t="shared" si="4"/>
        <v>93.65</v>
      </c>
      <c r="H213" s="1"/>
    </row>
    <row r="214" spans="2:8" ht="16.2">
      <c r="B214" s="222">
        <v>44660</v>
      </c>
      <c r="C214" s="200">
        <v>105</v>
      </c>
      <c r="D214" s="200">
        <v>106</v>
      </c>
      <c r="E214" s="27">
        <v>28.5</v>
      </c>
      <c r="F214" s="27"/>
      <c r="G214" s="27">
        <f t="shared" si="4"/>
        <v>28.5</v>
      </c>
      <c r="H214" s="1"/>
    </row>
    <row r="215" spans="2:8" ht="16.2">
      <c r="B215" s="222">
        <v>44661</v>
      </c>
      <c r="C215" s="200">
        <v>107</v>
      </c>
      <c r="D215" s="200">
        <v>108</v>
      </c>
      <c r="E215" s="27">
        <v>107.15</v>
      </c>
      <c r="F215" s="27"/>
      <c r="G215" s="27">
        <f t="shared" si="4"/>
        <v>107.15</v>
      </c>
      <c r="H215" s="1"/>
    </row>
    <row r="216" spans="2:8" ht="16.2">
      <c r="B216" s="222">
        <v>44662</v>
      </c>
      <c r="C216" s="200">
        <v>109</v>
      </c>
      <c r="D216" s="200">
        <v>110</v>
      </c>
      <c r="E216" s="27">
        <v>71.7</v>
      </c>
      <c r="F216" s="27"/>
      <c r="G216" s="27">
        <f t="shared" si="4"/>
        <v>71.7</v>
      </c>
      <c r="H216" s="1"/>
    </row>
    <row r="217" spans="2:8" ht="16.2">
      <c r="B217" s="222">
        <v>44663</v>
      </c>
      <c r="C217" s="200">
        <v>111</v>
      </c>
      <c r="D217" s="200">
        <v>113</v>
      </c>
      <c r="E217" s="27">
        <v>91</v>
      </c>
      <c r="F217" s="27"/>
      <c r="G217" s="27">
        <f t="shared" si="4"/>
        <v>91</v>
      </c>
      <c r="H217" s="1"/>
    </row>
    <row r="218" spans="2:8" ht="16.2">
      <c r="B218" s="222">
        <v>44664</v>
      </c>
      <c r="C218" s="200">
        <v>114</v>
      </c>
      <c r="D218" s="200">
        <v>114</v>
      </c>
      <c r="E218" s="27">
        <v>14.3</v>
      </c>
      <c r="F218" s="27"/>
      <c r="G218" s="27">
        <f t="shared" si="4"/>
        <v>14.3</v>
      </c>
      <c r="H218" s="1"/>
    </row>
    <row r="219" spans="2:8" ht="16.2">
      <c r="B219" s="222">
        <v>44665</v>
      </c>
      <c r="C219" s="200">
        <v>115</v>
      </c>
      <c r="D219" s="200">
        <v>117</v>
      </c>
      <c r="E219" s="27">
        <v>97.5</v>
      </c>
      <c r="F219" s="27"/>
      <c r="G219" s="27">
        <f t="shared" si="4"/>
        <v>97.5</v>
      </c>
      <c r="H219" s="1"/>
    </row>
    <row r="220" spans="2:8" ht="16.2">
      <c r="B220" s="222">
        <v>44669</v>
      </c>
      <c r="C220" s="200">
        <v>118</v>
      </c>
      <c r="D220" s="200">
        <v>119</v>
      </c>
      <c r="E220" s="27">
        <v>9.1999999999999993</v>
      </c>
      <c r="F220" s="27"/>
      <c r="G220" s="27">
        <f t="shared" si="4"/>
        <v>9.1999999999999993</v>
      </c>
      <c r="H220" s="1"/>
    </row>
    <row r="221" spans="2:8" ht="16.2">
      <c r="B221" s="222">
        <v>44670</v>
      </c>
      <c r="C221" s="200">
        <v>120</v>
      </c>
      <c r="D221" s="200">
        <v>120</v>
      </c>
      <c r="E221" s="27">
        <v>13.5</v>
      </c>
      <c r="F221" s="27"/>
      <c r="G221" s="27">
        <f t="shared" si="4"/>
        <v>13.5</v>
      </c>
      <c r="H221" s="1"/>
    </row>
    <row r="222" spans="2:8" ht="16.2">
      <c r="B222" s="222">
        <v>44671</v>
      </c>
      <c r="C222" s="200">
        <v>121</v>
      </c>
      <c r="D222" s="200">
        <v>122</v>
      </c>
      <c r="E222" s="27">
        <v>21.05</v>
      </c>
      <c r="F222" s="27"/>
      <c r="G222" s="27">
        <f t="shared" si="4"/>
        <v>21.05</v>
      </c>
      <c r="H222" s="1"/>
    </row>
    <row r="223" spans="2:8" ht="16.2">
      <c r="B223" s="222">
        <v>44672</v>
      </c>
      <c r="C223" s="200">
        <v>123</v>
      </c>
      <c r="D223" s="200">
        <v>124</v>
      </c>
      <c r="E223" s="27">
        <v>41</v>
      </c>
      <c r="F223" s="27"/>
      <c r="G223" s="27">
        <f t="shared" si="4"/>
        <v>41</v>
      </c>
      <c r="H223" s="1"/>
    </row>
    <row r="224" spans="2:8" ht="16.2">
      <c r="B224" s="222">
        <v>44673</v>
      </c>
      <c r="C224" s="200">
        <v>125</v>
      </c>
      <c r="D224" s="200">
        <v>126</v>
      </c>
      <c r="E224" s="27">
        <v>24.5</v>
      </c>
      <c r="F224" s="27"/>
      <c r="G224" s="27">
        <f t="shared" si="4"/>
        <v>24.5</v>
      </c>
      <c r="H224" s="1"/>
    </row>
    <row r="225" spans="2:8" ht="16.2">
      <c r="B225" s="222">
        <v>44674</v>
      </c>
      <c r="C225" s="200">
        <v>127</v>
      </c>
      <c r="D225" s="200">
        <v>128</v>
      </c>
      <c r="E225" s="27">
        <v>14.15</v>
      </c>
      <c r="F225" s="27"/>
      <c r="G225" s="27">
        <f t="shared" si="4"/>
        <v>14.15</v>
      </c>
      <c r="H225" s="1"/>
    </row>
    <row r="226" spans="2:8" ht="16.2">
      <c r="B226" s="222">
        <v>44675</v>
      </c>
      <c r="C226" s="200">
        <v>129</v>
      </c>
      <c r="D226" s="200">
        <v>131</v>
      </c>
      <c r="E226" s="27">
        <v>114.3</v>
      </c>
      <c r="F226" s="27"/>
      <c r="G226" s="27">
        <f t="shared" si="4"/>
        <v>114.3</v>
      </c>
      <c r="H226" s="1"/>
    </row>
    <row r="227" spans="2:8" ht="16.2">
      <c r="B227" s="222">
        <v>44676</v>
      </c>
      <c r="C227" s="200">
        <v>132</v>
      </c>
      <c r="D227" s="200">
        <v>132</v>
      </c>
      <c r="E227" s="27">
        <v>7.2</v>
      </c>
      <c r="F227" s="27"/>
      <c r="G227" s="27">
        <f t="shared" si="4"/>
        <v>7.2</v>
      </c>
      <c r="H227" s="1"/>
    </row>
    <row r="228" spans="2:8" ht="16.2">
      <c r="B228" s="222">
        <v>44677</v>
      </c>
      <c r="C228" s="200">
        <v>133</v>
      </c>
      <c r="D228" s="200">
        <v>134</v>
      </c>
      <c r="E228" s="27">
        <v>38.950000000000003</v>
      </c>
      <c r="F228" s="27"/>
      <c r="G228" s="27">
        <f t="shared" si="4"/>
        <v>38.950000000000003</v>
      </c>
      <c r="H228" s="1"/>
    </row>
    <row r="229" spans="2:8" ht="16.2">
      <c r="B229" s="222">
        <v>44678</v>
      </c>
      <c r="C229" s="200">
        <v>135</v>
      </c>
      <c r="D229" s="200">
        <v>135</v>
      </c>
      <c r="E229" s="27">
        <v>11</v>
      </c>
      <c r="F229" s="27"/>
      <c r="G229" s="27">
        <f t="shared" si="4"/>
        <v>11</v>
      </c>
      <c r="H229" s="1"/>
    </row>
    <row r="230" spans="2:8" ht="16.2">
      <c r="B230" s="222">
        <v>44679</v>
      </c>
      <c r="C230" s="200">
        <v>136</v>
      </c>
      <c r="D230" s="200">
        <v>137</v>
      </c>
      <c r="E230" s="27">
        <v>27.95</v>
      </c>
      <c r="F230" s="27"/>
      <c r="G230" s="27">
        <f t="shared" si="4"/>
        <v>27.95</v>
      </c>
      <c r="H230" s="1"/>
    </row>
    <row r="231" spans="2:8" ht="16.2">
      <c r="B231" s="222">
        <v>44680</v>
      </c>
      <c r="C231" s="200">
        <v>138</v>
      </c>
      <c r="D231" s="200">
        <v>138</v>
      </c>
      <c r="E231" s="27">
        <v>13.35</v>
      </c>
      <c r="F231" s="27"/>
      <c r="G231" s="27">
        <f t="shared" si="4"/>
        <v>13.35</v>
      </c>
      <c r="H231" s="1"/>
    </row>
    <row r="232" spans="2:8" ht="16.2">
      <c r="B232" s="222">
        <v>44681</v>
      </c>
      <c r="C232" s="200">
        <v>139</v>
      </c>
      <c r="D232" s="200">
        <v>140</v>
      </c>
      <c r="E232" s="27">
        <v>132.69999999999999</v>
      </c>
      <c r="F232" s="27"/>
      <c r="G232" s="27">
        <f t="shared" si="4"/>
        <v>132.69999999999999</v>
      </c>
      <c r="H232" s="1"/>
    </row>
    <row r="233" spans="2:8" ht="13.8">
      <c r="B233" s="119"/>
      <c r="C233" s="120" t="s">
        <v>10</v>
      </c>
      <c r="D233" s="121"/>
      <c r="E233" s="159">
        <f>SUM(E198:E232)</f>
        <v>2656.45</v>
      </c>
      <c r="F233" s="159">
        <f>SUM(F199:F203)</f>
        <v>0</v>
      </c>
      <c r="G233" s="159">
        <f>SUM(G198:G232)</f>
        <v>2656.45</v>
      </c>
      <c r="H233" s="122"/>
    </row>
    <row r="234" spans="2:8">
      <c r="G234" s="28"/>
    </row>
    <row r="235" spans="2:8" ht="17.399999999999999">
      <c r="B235" s="83"/>
      <c r="C235" s="90" t="s">
        <v>39</v>
      </c>
      <c r="D235" s="90"/>
      <c r="E235" s="90"/>
      <c r="F235" s="90"/>
      <c r="G235" s="153">
        <f>+E233/1.13</f>
        <v>2350.8407079646017</v>
      </c>
    </row>
    <row r="236" spans="2:8" ht="18" thickBot="1">
      <c r="B236" s="83"/>
      <c r="C236" s="92" t="s">
        <v>40</v>
      </c>
      <c r="D236" s="90" t="s">
        <v>41</v>
      </c>
      <c r="E236" s="90"/>
      <c r="F236" s="90"/>
      <c r="G236" s="154">
        <f>+G235*0.13</f>
        <v>305.60929203539825</v>
      </c>
      <c r="H236" s="29"/>
    </row>
    <row r="237" spans="2:8" ht="18" thickTop="1">
      <c r="B237" s="83"/>
      <c r="C237" s="90"/>
      <c r="D237" s="90" t="s">
        <v>6</v>
      </c>
      <c r="E237" s="90"/>
      <c r="F237" s="90"/>
      <c r="G237" s="153">
        <f>SUM(G235:G236)</f>
        <v>2656.45</v>
      </c>
    </row>
    <row r="238" spans="2:8" ht="15.6">
      <c r="B238" s="83"/>
      <c r="C238" s="83"/>
      <c r="E238" s="83"/>
      <c r="F238" s="83"/>
      <c r="G238" s="83"/>
      <c r="H238" s="29"/>
    </row>
    <row r="239" spans="2:8" ht="16.2" thickBot="1">
      <c r="B239" s="91" t="s">
        <v>11</v>
      </c>
      <c r="C239" s="91"/>
      <c r="D239" s="83"/>
      <c r="E239" s="83"/>
      <c r="F239" s="83"/>
      <c r="G239" s="104"/>
    </row>
    <row r="240" spans="2:8" ht="17.399999999999999">
      <c r="B240" s="90" t="s">
        <v>84</v>
      </c>
      <c r="C240" s="83"/>
      <c r="D240" s="83"/>
      <c r="E240" s="83"/>
      <c r="F240" s="83"/>
      <c r="G240" s="83"/>
    </row>
    <row r="241" spans="2:8" ht="15.6">
      <c r="B241" s="83" t="s">
        <v>12</v>
      </c>
      <c r="C241" s="83"/>
      <c r="D241" s="83"/>
      <c r="E241" s="83"/>
      <c r="F241" s="83"/>
      <c r="G241" s="83"/>
    </row>
    <row r="254" spans="2:8" ht="15.6">
      <c r="B254" s="116"/>
      <c r="C254" s="117" t="s">
        <v>14</v>
      </c>
      <c r="D254" s="117"/>
      <c r="E254" s="117"/>
      <c r="F254" s="117" t="s">
        <v>79</v>
      </c>
      <c r="G254" s="117"/>
      <c r="H254" s="117"/>
    </row>
    <row r="255" spans="2:8" ht="15.6">
      <c r="B255" s="116"/>
      <c r="C255" s="117" t="s">
        <v>32</v>
      </c>
      <c r="D255" s="117"/>
      <c r="E255" s="117"/>
      <c r="F255" s="117" t="s">
        <v>80</v>
      </c>
      <c r="G255" s="117"/>
      <c r="H255" s="117"/>
    </row>
    <row r="256" spans="2:8" ht="19.2">
      <c r="B256" s="116" t="s">
        <v>16</v>
      </c>
      <c r="C256" s="238" t="s">
        <v>295</v>
      </c>
      <c r="D256" s="116" t="s">
        <v>33</v>
      </c>
      <c r="E256" s="202">
        <v>2022</v>
      </c>
      <c r="F256" s="117" t="s">
        <v>34</v>
      </c>
      <c r="G256" s="118" t="s">
        <v>78</v>
      </c>
      <c r="H256" s="116"/>
    </row>
    <row r="257" spans="2:8">
      <c r="B257" s="82"/>
      <c r="C257" s="82"/>
      <c r="D257" s="82"/>
      <c r="E257" s="82"/>
      <c r="F257" s="82"/>
      <c r="G257" s="82"/>
      <c r="H257" s="82"/>
    </row>
    <row r="258" spans="2:8">
      <c r="B258" s="126" t="s">
        <v>0</v>
      </c>
      <c r="C258" s="126" t="s">
        <v>35</v>
      </c>
      <c r="D258" s="126" t="s">
        <v>36</v>
      </c>
      <c r="E258" s="126" t="s">
        <v>37</v>
      </c>
      <c r="F258" s="126" t="s">
        <v>38</v>
      </c>
      <c r="G258" s="126" t="s">
        <v>38</v>
      </c>
      <c r="H258" s="126"/>
    </row>
    <row r="259" spans="2:8">
      <c r="B259" s="127"/>
      <c r="C259" s="127"/>
      <c r="D259" s="127"/>
      <c r="E259" s="127" t="s">
        <v>5</v>
      </c>
      <c r="F259" s="127" t="s">
        <v>4</v>
      </c>
      <c r="G259" s="127" t="s">
        <v>10</v>
      </c>
      <c r="H259" s="127"/>
    </row>
    <row r="260" spans="2:8" ht="16.2">
      <c r="B260" s="221">
        <v>44685</v>
      </c>
      <c r="C260" s="200">
        <v>1392</v>
      </c>
      <c r="D260" s="200">
        <v>1405</v>
      </c>
      <c r="E260" s="27">
        <v>159.25</v>
      </c>
      <c r="F260" s="27"/>
      <c r="G260" s="27">
        <f>E260+F260</f>
        <v>159.25</v>
      </c>
      <c r="H260" s="207"/>
    </row>
    <row r="261" spans="2:8" ht="16.2">
      <c r="B261" s="222">
        <v>44688</v>
      </c>
      <c r="C261" s="200">
        <v>1406</v>
      </c>
      <c r="D261" s="200">
        <v>1423</v>
      </c>
      <c r="E261" s="27">
        <v>211.75</v>
      </c>
      <c r="F261" s="27"/>
      <c r="G261" s="27">
        <f>E261+F261</f>
        <v>211.75</v>
      </c>
      <c r="H261" s="1"/>
    </row>
    <row r="262" spans="2:8" ht="16.2">
      <c r="B262" s="222">
        <v>44692</v>
      </c>
      <c r="C262" s="200">
        <v>1424</v>
      </c>
      <c r="D262" s="200">
        <v>1436</v>
      </c>
      <c r="E262" s="27">
        <v>153.5</v>
      </c>
      <c r="F262" s="27"/>
      <c r="G262" s="27">
        <f t="shared" ref="G262:G284" si="5">E262+F262</f>
        <v>153.5</v>
      </c>
      <c r="H262" s="1"/>
    </row>
    <row r="263" spans="2:8" ht="16.2">
      <c r="B263" s="222">
        <v>44694</v>
      </c>
      <c r="C263" s="200">
        <v>1437</v>
      </c>
      <c r="D263" s="200">
        <v>1453</v>
      </c>
      <c r="E263" s="27">
        <v>194</v>
      </c>
      <c r="F263" s="27"/>
      <c r="G263" s="27">
        <f t="shared" si="5"/>
        <v>194</v>
      </c>
      <c r="H263" s="1"/>
    </row>
    <row r="264" spans="2:8" ht="16.2">
      <c r="B264" s="222">
        <v>44699</v>
      </c>
      <c r="C264" s="200">
        <v>1454</v>
      </c>
      <c r="D264" s="200">
        <v>1465</v>
      </c>
      <c r="E264" s="27">
        <v>132.75</v>
      </c>
      <c r="F264" s="27"/>
      <c r="G264" s="27">
        <f t="shared" si="5"/>
        <v>132.75</v>
      </c>
      <c r="H264" s="1"/>
    </row>
    <row r="265" spans="2:8" ht="16.2">
      <c r="B265" s="222">
        <v>44701</v>
      </c>
      <c r="C265" s="200">
        <v>1466</v>
      </c>
      <c r="D265" s="200">
        <v>1482</v>
      </c>
      <c r="E265" s="27">
        <v>195</v>
      </c>
      <c r="F265" s="27"/>
      <c r="G265" s="27">
        <f t="shared" si="5"/>
        <v>195</v>
      </c>
      <c r="H265" s="1"/>
    </row>
    <row r="266" spans="2:8" ht="16.2">
      <c r="B266" s="222">
        <v>44706</v>
      </c>
      <c r="C266" s="200">
        <v>1483</v>
      </c>
      <c r="D266" s="200">
        <v>1495</v>
      </c>
      <c r="E266" s="27">
        <v>146.5</v>
      </c>
      <c r="F266" s="27"/>
      <c r="G266" s="27">
        <f t="shared" si="5"/>
        <v>146.5</v>
      </c>
      <c r="H266" s="1"/>
    </row>
    <row r="267" spans="2:8" ht="16.2">
      <c r="B267" s="222">
        <v>44708</v>
      </c>
      <c r="C267" s="200">
        <v>1496</v>
      </c>
      <c r="D267" s="200">
        <v>1500</v>
      </c>
      <c r="E267" s="27">
        <v>61.25</v>
      </c>
      <c r="F267" s="27"/>
      <c r="G267" s="27">
        <f t="shared" si="5"/>
        <v>61.25</v>
      </c>
      <c r="H267" s="1"/>
    </row>
    <row r="268" spans="2:8" ht="16.2">
      <c r="B268" s="222">
        <v>44708</v>
      </c>
      <c r="C268" s="200">
        <v>1</v>
      </c>
      <c r="D268" s="200">
        <v>12</v>
      </c>
      <c r="E268" s="27">
        <v>140.5</v>
      </c>
      <c r="F268" s="27"/>
      <c r="G268" s="27">
        <f t="shared" si="5"/>
        <v>140.5</v>
      </c>
      <c r="H268" s="1"/>
    </row>
    <row r="269" spans="2:8" ht="16.2">
      <c r="B269" s="222">
        <v>44683</v>
      </c>
      <c r="C269" s="200">
        <v>141</v>
      </c>
      <c r="D269" s="200">
        <v>143</v>
      </c>
      <c r="E269" s="27">
        <v>22.3</v>
      </c>
      <c r="F269" s="27"/>
      <c r="G269" s="27">
        <f t="shared" si="5"/>
        <v>22.3</v>
      </c>
      <c r="H269" s="1"/>
    </row>
    <row r="270" spans="2:8" ht="16.2">
      <c r="B270" s="222">
        <v>44685</v>
      </c>
      <c r="C270" s="200">
        <v>144</v>
      </c>
      <c r="D270" s="200">
        <v>146</v>
      </c>
      <c r="E270" s="27">
        <v>35.35</v>
      </c>
      <c r="F270" s="27"/>
      <c r="G270" s="27">
        <f t="shared" si="5"/>
        <v>35.35</v>
      </c>
      <c r="H270" s="1"/>
    </row>
    <row r="271" spans="2:8" ht="16.2">
      <c r="B271" s="222">
        <v>44686</v>
      </c>
      <c r="C271" s="200">
        <v>147</v>
      </c>
      <c r="D271" s="200">
        <v>149</v>
      </c>
      <c r="E271" s="27">
        <v>66.7</v>
      </c>
      <c r="F271" s="27"/>
      <c r="G271" s="27">
        <f t="shared" si="5"/>
        <v>66.7</v>
      </c>
      <c r="H271" s="1"/>
    </row>
    <row r="272" spans="2:8" ht="16.2">
      <c r="B272" s="222">
        <v>44688</v>
      </c>
      <c r="C272" s="200">
        <v>150</v>
      </c>
      <c r="D272" s="200">
        <v>152</v>
      </c>
      <c r="E272" s="27">
        <v>46.15</v>
      </c>
      <c r="F272" s="27"/>
      <c r="G272" s="27">
        <f t="shared" si="5"/>
        <v>46.15</v>
      </c>
      <c r="H272" s="1"/>
    </row>
    <row r="273" spans="2:8" ht="16.2">
      <c r="B273" s="222">
        <v>44690</v>
      </c>
      <c r="C273" s="200">
        <v>153</v>
      </c>
      <c r="D273" s="200">
        <v>157</v>
      </c>
      <c r="E273" s="27">
        <v>66.45</v>
      </c>
      <c r="F273" s="27"/>
      <c r="G273" s="27">
        <f t="shared" si="5"/>
        <v>66.45</v>
      </c>
      <c r="H273" s="1"/>
    </row>
    <row r="274" spans="2:8" ht="16.2">
      <c r="B274" s="222">
        <v>44693</v>
      </c>
      <c r="C274" s="200">
        <v>158</v>
      </c>
      <c r="D274" s="200">
        <v>161</v>
      </c>
      <c r="E274" s="27">
        <v>48.35</v>
      </c>
      <c r="F274" s="27"/>
      <c r="G274" s="27">
        <f t="shared" si="5"/>
        <v>48.35</v>
      </c>
      <c r="H274" s="1"/>
    </row>
    <row r="275" spans="2:8" ht="16.2">
      <c r="B275" s="222">
        <v>44695</v>
      </c>
      <c r="C275" s="200">
        <v>162</v>
      </c>
      <c r="D275" s="200">
        <v>166</v>
      </c>
      <c r="E275" s="27">
        <v>102.35</v>
      </c>
      <c r="F275" s="27"/>
      <c r="G275" s="27">
        <f t="shared" si="5"/>
        <v>102.35</v>
      </c>
      <c r="H275" s="1"/>
    </row>
    <row r="276" spans="2:8" ht="16.2">
      <c r="B276" s="222">
        <v>44697</v>
      </c>
      <c r="C276" s="200">
        <v>167</v>
      </c>
      <c r="D276" s="200">
        <v>171</v>
      </c>
      <c r="E276" s="27">
        <v>142.9</v>
      </c>
      <c r="F276" s="27"/>
      <c r="G276" s="27">
        <f t="shared" si="5"/>
        <v>142.9</v>
      </c>
      <c r="H276" s="1"/>
    </row>
    <row r="277" spans="2:8" ht="16.2">
      <c r="B277" s="222">
        <v>44699</v>
      </c>
      <c r="C277" s="200">
        <v>172</v>
      </c>
      <c r="D277" s="200">
        <v>176</v>
      </c>
      <c r="E277" s="27">
        <v>43.65</v>
      </c>
      <c r="F277" s="27"/>
      <c r="G277" s="27">
        <f t="shared" si="5"/>
        <v>43.65</v>
      </c>
      <c r="H277" s="1"/>
    </row>
    <row r="278" spans="2:8" ht="16.2">
      <c r="B278" s="222">
        <v>44700</v>
      </c>
      <c r="C278" s="200">
        <v>177</v>
      </c>
      <c r="D278" s="200">
        <v>179</v>
      </c>
      <c r="E278" s="27">
        <v>37.35</v>
      </c>
      <c r="F278" s="27"/>
      <c r="G278" s="27">
        <f t="shared" si="5"/>
        <v>37.35</v>
      </c>
      <c r="H278" s="1"/>
    </row>
    <row r="279" spans="2:8" ht="16.2">
      <c r="B279" s="222">
        <v>44702</v>
      </c>
      <c r="C279" s="200">
        <v>180</v>
      </c>
      <c r="D279" s="200">
        <v>182</v>
      </c>
      <c r="E279" s="27">
        <v>59.25</v>
      </c>
      <c r="F279" s="27"/>
      <c r="G279" s="27">
        <f t="shared" si="5"/>
        <v>59.25</v>
      </c>
      <c r="H279" s="1"/>
    </row>
    <row r="280" spans="2:8" ht="16.2">
      <c r="B280" s="222">
        <v>44704</v>
      </c>
      <c r="C280" s="200">
        <v>183</v>
      </c>
      <c r="D280" s="200">
        <v>185</v>
      </c>
      <c r="E280" s="27">
        <v>51.95</v>
      </c>
      <c r="F280" s="27"/>
      <c r="G280" s="27">
        <f t="shared" si="5"/>
        <v>51.95</v>
      </c>
      <c r="H280" s="1"/>
    </row>
    <row r="281" spans="2:8" ht="16.2">
      <c r="B281" s="222">
        <v>44707</v>
      </c>
      <c r="C281" s="200">
        <v>186</v>
      </c>
      <c r="D281" s="200">
        <v>188</v>
      </c>
      <c r="E281" s="27">
        <v>42.6</v>
      </c>
      <c r="F281" s="27"/>
      <c r="G281" s="27">
        <f t="shared" si="5"/>
        <v>42.6</v>
      </c>
      <c r="H281" s="1"/>
    </row>
    <row r="282" spans="2:8" ht="16.2">
      <c r="B282" s="222">
        <v>44710</v>
      </c>
      <c r="C282" s="200">
        <v>189</v>
      </c>
      <c r="D282" s="200">
        <v>192</v>
      </c>
      <c r="E282" s="27">
        <v>96.1</v>
      </c>
      <c r="F282" s="27"/>
      <c r="G282" s="27">
        <f t="shared" si="5"/>
        <v>96.1</v>
      </c>
      <c r="H282" s="1"/>
    </row>
    <row r="283" spans="2:8" ht="16.2">
      <c r="B283" s="222">
        <v>44711</v>
      </c>
      <c r="C283" s="200">
        <v>193</v>
      </c>
      <c r="D283" s="200">
        <v>195</v>
      </c>
      <c r="E283" s="27">
        <v>57.75</v>
      </c>
      <c r="F283" s="27"/>
      <c r="G283" s="27">
        <f t="shared" si="5"/>
        <v>57.75</v>
      </c>
      <c r="H283" s="1"/>
    </row>
    <row r="284" spans="2:8" ht="16.2">
      <c r="B284" s="222"/>
      <c r="C284" s="200"/>
      <c r="D284" s="200"/>
      <c r="E284" s="27"/>
      <c r="F284" s="27"/>
      <c r="G284" s="27">
        <f t="shared" si="5"/>
        <v>0</v>
      </c>
      <c r="H284" s="1"/>
    </row>
    <row r="285" spans="2:8" ht="13.8">
      <c r="B285" s="119"/>
      <c r="C285" s="120" t="s">
        <v>10</v>
      </c>
      <c r="D285" s="121"/>
      <c r="E285" s="159">
        <f>SUM(E260:E284)</f>
        <v>2313.6999999999998</v>
      </c>
      <c r="F285" s="159">
        <f>SUM(F261:F265)</f>
        <v>0</v>
      </c>
      <c r="G285" s="159">
        <f>SUM(G260:G284)</f>
        <v>2313.6999999999998</v>
      </c>
      <c r="H285" s="122"/>
    </row>
    <row r="286" spans="2:8">
      <c r="G286" s="28"/>
    </row>
    <row r="287" spans="2:8" ht="17.399999999999999">
      <c r="B287" s="83"/>
      <c r="C287" s="90" t="s">
        <v>39</v>
      </c>
      <c r="D287" s="90"/>
      <c r="E287" s="90"/>
      <c r="F287" s="90"/>
      <c r="G287" s="153">
        <f>+E285/1.13</f>
        <v>2047.5221238938054</v>
      </c>
    </row>
    <row r="288" spans="2:8" ht="18" thickBot="1">
      <c r="B288" s="83"/>
      <c r="C288" s="92" t="s">
        <v>40</v>
      </c>
      <c r="D288" s="90" t="s">
        <v>41</v>
      </c>
      <c r="E288" s="90"/>
      <c r="F288" s="90"/>
      <c r="G288" s="154">
        <f>+G287*0.13</f>
        <v>266.17787610619473</v>
      </c>
      <c r="H288" s="29"/>
    </row>
    <row r="289" spans="2:8" ht="18" thickTop="1">
      <c r="B289" s="83"/>
      <c r="C289" s="90"/>
      <c r="D289" s="90" t="s">
        <v>6</v>
      </c>
      <c r="E289" s="90"/>
      <c r="F289" s="90"/>
      <c r="G289" s="153">
        <f>SUM(G287:G288)</f>
        <v>2313.7000000000003</v>
      </c>
    </row>
    <row r="290" spans="2:8" ht="15.6">
      <c r="B290" s="83"/>
      <c r="C290" s="83"/>
      <c r="E290" s="83"/>
      <c r="F290" s="83"/>
      <c r="G290" s="83"/>
      <c r="H290" s="29"/>
    </row>
    <row r="291" spans="2:8" ht="16.2" thickBot="1">
      <c r="B291" s="91" t="s">
        <v>11</v>
      </c>
      <c r="C291" s="91"/>
      <c r="D291" s="83"/>
      <c r="E291" s="83"/>
      <c r="F291" s="83"/>
      <c r="G291" s="104"/>
    </row>
    <row r="292" spans="2:8" ht="17.399999999999999">
      <c r="B292" s="90" t="s">
        <v>84</v>
      </c>
      <c r="C292" s="83"/>
      <c r="D292" s="83"/>
      <c r="E292" s="83"/>
      <c r="F292" s="83"/>
      <c r="G292" s="83"/>
    </row>
    <row r="293" spans="2:8" ht="15.6">
      <c r="B293" s="83" t="s">
        <v>12</v>
      </c>
      <c r="C293" s="83"/>
      <c r="D293" s="83"/>
      <c r="E293" s="83"/>
      <c r="F293" s="83"/>
      <c r="G293" s="83"/>
    </row>
    <row r="302" spans="2:8" ht="15.6">
      <c r="B302" s="116"/>
      <c r="C302" s="117" t="s">
        <v>14</v>
      </c>
      <c r="D302" s="117"/>
      <c r="E302" s="117"/>
      <c r="F302" s="117" t="s">
        <v>79</v>
      </c>
      <c r="G302" s="117"/>
      <c r="H302" s="117"/>
    </row>
    <row r="303" spans="2:8" ht="15.6">
      <c r="B303" s="116"/>
      <c r="C303" s="117" t="s">
        <v>32</v>
      </c>
      <c r="D303" s="117"/>
      <c r="E303" s="117"/>
      <c r="F303" s="117" t="s">
        <v>80</v>
      </c>
      <c r="G303" s="117"/>
      <c r="H303" s="117"/>
    </row>
    <row r="304" spans="2:8" ht="19.2">
      <c r="B304" s="116" t="s">
        <v>16</v>
      </c>
      <c r="C304" s="238" t="s">
        <v>334</v>
      </c>
      <c r="D304" s="116" t="s">
        <v>33</v>
      </c>
      <c r="E304" s="202">
        <v>2022</v>
      </c>
      <c r="F304" s="117" t="s">
        <v>34</v>
      </c>
      <c r="G304" s="118" t="s">
        <v>78</v>
      </c>
      <c r="H304" s="116"/>
    </row>
    <row r="305" spans="2:10">
      <c r="B305" s="82"/>
      <c r="C305" s="82"/>
      <c r="D305" s="82"/>
      <c r="E305" s="82"/>
      <c r="F305" s="82"/>
      <c r="G305" s="82"/>
      <c r="H305" s="82"/>
    </row>
    <row r="306" spans="2:10">
      <c r="B306" s="126" t="s">
        <v>0</v>
      </c>
      <c r="C306" s="126" t="s">
        <v>35</v>
      </c>
      <c r="D306" s="126" t="s">
        <v>36</v>
      </c>
      <c r="E306" s="126" t="s">
        <v>37</v>
      </c>
      <c r="F306" s="126" t="s">
        <v>38</v>
      </c>
      <c r="G306" s="126" t="s">
        <v>38</v>
      </c>
      <c r="H306" s="126"/>
    </row>
    <row r="307" spans="2:10">
      <c r="B307" s="127"/>
      <c r="C307" s="127"/>
      <c r="D307" s="127"/>
      <c r="E307" s="127" t="s">
        <v>5</v>
      </c>
      <c r="F307" s="127" t="s">
        <v>4</v>
      </c>
      <c r="G307" s="127" t="s">
        <v>10</v>
      </c>
      <c r="H307" s="127"/>
    </row>
    <row r="308" spans="2:10" ht="16.2">
      <c r="B308" s="221">
        <v>44713</v>
      </c>
      <c r="C308" s="200">
        <v>13</v>
      </c>
      <c r="D308" s="200">
        <v>27</v>
      </c>
      <c r="E308" s="27">
        <v>171.2</v>
      </c>
      <c r="F308" s="27"/>
      <c r="G308" s="27">
        <f>E308+F308</f>
        <v>171.2</v>
      </c>
      <c r="H308" s="207"/>
    </row>
    <row r="309" spans="2:10" ht="16.2">
      <c r="B309" s="222">
        <v>44715</v>
      </c>
      <c r="C309" s="200">
        <v>28</v>
      </c>
      <c r="D309" s="200">
        <v>45</v>
      </c>
      <c r="E309" s="27">
        <v>201</v>
      </c>
      <c r="F309" s="27"/>
      <c r="G309" s="27">
        <f>E309+F309</f>
        <v>201</v>
      </c>
      <c r="H309" s="1"/>
    </row>
    <row r="310" spans="2:10" ht="16.2">
      <c r="B310" s="222">
        <v>44720</v>
      </c>
      <c r="C310" s="200">
        <v>46</v>
      </c>
      <c r="D310" s="200">
        <v>57</v>
      </c>
      <c r="E310" s="27">
        <v>133.5</v>
      </c>
      <c r="F310" s="27"/>
      <c r="G310" s="27">
        <f t="shared" ref="G310:G345" si="6">E310+F310</f>
        <v>133.5</v>
      </c>
      <c r="H310" s="1"/>
    </row>
    <row r="311" spans="2:10" ht="16.2">
      <c r="B311" s="222">
        <v>44722</v>
      </c>
      <c r="C311" s="200">
        <v>58</v>
      </c>
      <c r="D311" s="200">
        <v>77</v>
      </c>
      <c r="E311" s="27">
        <v>223.75</v>
      </c>
      <c r="F311" s="27"/>
      <c r="G311" s="27">
        <f t="shared" si="6"/>
        <v>223.75</v>
      </c>
      <c r="H311" s="1"/>
    </row>
    <row r="312" spans="2:10" ht="16.2">
      <c r="B312" s="222">
        <v>44727</v>
      </c>
      <c r="C312" s="200">
        <v>78</v>
      </c>
      <c r="D312" s="200">
        <v>90</v>
      </c>
      <c r="E312" s="27">
        <v>156.25</v>
      </c>
      <c r="F312" s="27"/>
      <c r="G312" s="27">
        <f t="shared" si="6"/>
        <v>156.25</v>
      </c>
      <c r="H312" s="1"/>
    </row>
    <row r="313" spans="2:10" ht="16.2">
      <c r="B313" s="222">
        <v>44729</v>
      </c>
      <c r="C313" s="200">
        <v>91</v>
      </c>
      <c r="D313" s="200">
        <v>102</v>
      </c>
      <c r="E313" s="27">
        <v>137.5</v>
      </c>
      <c r="F313" s="27"/>
      <c r="G313" s="27">
        <f t="shared" si="6"/>
        <v>137.5</v>
      </c>
      <c r="H313" s="1"/>
    </row>
    <row r="314" spans="2:10" ht="16.2">
      <c r="B314" s="222">
        <v>44734</v>
      </c>
      <c r="C314" s="200">
        <v>103</v>
      </c>
      <c r="D314" s="200">
        <v>116</v>
      </c>
      <c r="E314" s="27">
        <v>153.5</v>
      </c>
      <c r="F314" s="27"/>
      <c r="G314" s="27">
        <f t="shared" si="6"/>
        <v>153.5</v>
      </c>
      <c r="H314" s="1"/>
    </row>
    <row r="315" spans="2:10" ht="16.2">
      <c r="B315" s="222">
        <v>44736</v>
      </c>
      <c r="C315" s="200">
        <v>117</v>
      </c>
      <c r="D315" s="200">
        <v>134</v>
      </c>
      <c r="E315" s="27">
        <v>209.5</v>
      </c>
      <c r="F315" s="27"/>
      <c r="G315" s="27">
        <f t="shared" si="6"/>
        <v>209.5</v>
      </c>
      <c r="H315" s="1"/>
    </row>
    <row r="316" spans="2:10" ht="16.2">
      <c r="B316" s="222">
        <v>44741</v>
      </c>
      <c r="C316" s="200">
        <v>135</v>
      </c>
      <c r="D316" s="200">
        <v>147</v>
      </c>
      <c r="E316" s="27">
        <v>150</v>
      </c>
      <c r="F316" s="27"/>
      <c r="G316" s="27">
        <f t="shared" si="6"/>
        <v>150</v>
      </c>
      <c r="H316" s="1"/>
    </row>
    <row r="317" spans="2:10" ht="16.2">
      <c r="B317" s="293">
        <v>44713</v>
      </c>
      <c r="C317" s="294">
        <v>196</v>
      </c>
      <c r="D317" s="294">
        <v>197</v>
      </c>
      <c r="E317" s="295">
        <v>6.55</v>
      </c>
      <c r="F317" s="295"/>
      <c r="G317" s="295">
        <f t="shared" si="6"/>
        <v>6.55</v>
      </c>
      <c r="H317" s="1"/>
      <c r="J317" s="296">
        <f>G317</f>
        <v>6.55</v>
      </c>
    </row>
    <row r="318" spans="2:10" ht="16.2">
      <c r="B318" s="293">
        <v>44714</v>
      </c>
      <c r="C318" s="294">
        <v>198</v>
      </c>
      <c r="D318" s="294">
        <v>199</v>
      </c>
      <c r="E318" s="295">
        <v>18.5</v>
      </c>
      <c r="F318" s="295"/>
      <c r="G318" s="295">
        <f t="shared" si="6"/>
        <v>18.5</v>
      </c>
      <c r="H318" s="1"/>
      <c r="J318" s="28">
        <f>J317+G318</f>
        <v>25.05</v>
      </c>
    </row>
    <row r="319" spans="2:10" ht="16.2">
      <c r="B319" s="293">
        <v>44715</v>
      </c>
      <c r="C319" s="294">
        <v>200</v>
      </c>
      <c r="D319" s="294">
        <v>201</v>
      </c>
      <c r="E319" s="295">
        <v>29.25</v>
      </c>
      <c r="F319" s="295"/>
      <c r="G319" s="295">
        <f t="shared" si="6"/>
        <v>29.25</v>
      </c>
      <c r="H319" s="1"/>
      <c r="J319" s="28">
        <f t="shared" ref="J319:J345" si="7">J318+G319</f>
        <v>54.3</v>
      </c>
    </row>
    <row r="320" spans="2:10" ht="16.2">
      <c r="B320" s="293">
        <v>44716</v>
      </c>
      <c r="C320" s="294">
        <v>202</v>
      </c>
      <c r="D320" s="294">
        <v>204</v>
      </c>
      <c r="E320" s="295">
        <v>57.9</v>
      </c>
      <c r="F320" s="295"/>
      <c r="G320" s="295">
        <f t="shared" si="6"/>
        <v>57.9</v>
      </c>
      <c r="H320" s="1"/>
      <c r="J320" s="28">
        <f t="shared" si="7"/>
        <v>112.19999999999999</v>
      </c>
    </row>
    <row r="321" spans="2:10" ht="16.2">
      <c r="B321" s="293">
        <v>44718</v>
      </c>
      <c r="C321" s="294">
        <v>205</v>
      </c>
      <c r="D321" s="294">
        <v>208</v>
      </c>
      <c r="E321" s="295">
        <v>48.5</v>
      </c>
      <c r="F321" s="295"/>
      <c r="G321" s="295">
        <f t="shared" si="6"/>
        <v>48.5</v>
      </c>
      <c r="H321" s="1"/>
      <c r="J321" s="28">
        <f t="shared" si="7"/>
        <v>160.69999999999999</v>
      </c>
    </row>
    <row r="322" spans="2:10" ht="16.2">
      <c r="B322" s="293">
        <v>44719</v>
      </c>
      <c r="C322" s="294">
        <v>209</v>
      </c>
      <c r="D322" s="294">
        <v>210</v>
      </c>
      <c r="E322" s="295">
        <v>21.8</v>
      </c>
      <c r="F322" s="295"/>
      <c r="G322" s="295">
        <f t="shared" si="6"/>
        <v>21.8</v>
      </c>
      <c r="H322" s="1"/>
      <c r="J322" s="28">
        <f t="shared" si="7"/>
        <v>182.5</v>
      </c>
    </row>
    <row r="323" spans="2:10" ht="16.2">
      <c r="B323" s="293">
        <v>44720</v>
      </c>
      <c r="C323" s="294">
        <v>211</v>
      </c>
      <c r="D323" s="294">
        <v>211</v>
      </c>
      <c r="E323" s="295">
        <v>14.25</v>
      </c>
      <c r="F323" s="295"/>
      <c r="G323" s="295">
        <f t="shared" si="6"/>
        <v>14.25</v>
      </c>
      <c r="H323" s="1"/>
      <c r="J323" s="28">
        <f t="shared" si="7"/>
        <v>196.75</v>
      </c>
    </row>
    <row r="324" spans="2:10" ht="16.2">
      <c r="B324" s="293">
        <v>44721</v>
      </c>
      <c r="C324" s="294">
        <v>212</v>
      </c>
      <c r="D324" s="294">
        <v>213</v>
      </c>
      <c r="E324" s="295">
        <v>16.25</v>
      </c>
      <c r="F324" s="295"/>
      <c r="G324" s="295">
        <f t="shared" si="6"/>
        <v>16.25</v>
      </c>
      <c r="H324" s="1"/>
      <c r="J324" s="28">
        <f t="shared" si="7"/>
        <v>213</v>
      </c>
    </row>
    <row r="325" spans="2:10" ht="16.2">
      <c r="B325" s="293">
        <v>44722</v>
      </c>
      <c r="C325" s="294">
        <v>214</v>
      </c>
      <c r="D325" s="294">
        <v>215</v>
      </c>
      <c r="E325" s="295">
        <v>22.5</v>
      </c>
      <c r="F325" s="295"/>
      <c r="G325" s="295">
        <f t="shared" si="6"/>
        <v>22.5</v>
      </c>
      <c r="H325" s="1"/>
      <c r="J325" s="28">
        <f t="shared" si="7"/>
        <v>235.5</v>
      </c>
    </row>
    <row r="326" spans="2:10" ht="16.2">
      <c r="B326" s="293">
        <v>44723</v>
      </c>
      <c r="C326" s="294">
        <v>216</v>
      </c>
      <c r="D326" s="294">
        <v>217</v>
      </c>
      <c r="E326" s="295">
        <v>70.650000000000006</v>
      </c>
      <c r="F326" s="295"/>
      <c r="G326" s="295">
        <f t="shared" si="6"/>
        <v>70.650000000000006</v>
      </c>
      <c r="H326" s="1"/>
      <c r="J326" s="28">
        <f t="shared" si="7"/>
        <v>306.14999999999998</v>
      </c>
    </row>
    <row r="327" spans="2:10" ht="16.2">
      <c r="B327" s="293">
        <v>44724</v>
      </c>
      <c r="C327" s="294">
        <v>218</v>
      </c>
      <c r="D327" s="294">
        <v>218</v>
      </c>
      <c r="E327" s="295">
        <v>5</v>
      </c>
      <c r="F327" s="295"/>
      <c r="G327" s="295">
        <f t="shared" si="6"/>
        <v>5</v>
      </c>
      <c r="H327" s="1"/>
      <c r="J327" s="28">
        <f t="shared" si="7"/>
        <v>311.14999999999998</v>
      </c>
    </row>
    <row r="328" spans="2:10" ht="16.2">
      <c r="B328" s="293">
        <v>44725</v>
      </c>
      <c r="C328" s="294">
        <v>219</v>
      </c>
      <c r="D328" s="294">
        <v>221</v>
      </c>
      <c r="E328" s="295">
        <v>52.75</v>
      </c>
      <c r="F328" s="295"/>
      <c r="G328" s="295">
        <f t="shared" si="6"/>
        <v>52.75</v>
      </c>
      <c r="H328" s="1"/>
      <c r="J328" s="28">
        <f t="shared" si="7"/>
        <v>363.9</v>
      </c>
    </row>
    <row r="329" spans="2:10" ht="16.2">
      <c r="B329" s="293">
        <v>44726</v>
      </c>
      <c r="C329" s="294">
        <v>222</v>
      </c>
      <c r="D329" s="294">
        <v>222</v>
      </c>
      <c r="E329" s="295">
        <v>2.75</v>
      </c>
      <c r="F329" s="295"/>
      <c r="G329" s="295">
        <f t="shared" si="6"/>
        <v>2.75</v>
      </c>
      <c r="H329" s="1"/>
      <c r="J329" s="28">
        <f t="shared" si="7"/>
        <v>366.65</v>
      </c>
    </row>
    <row r="330" spans="2:10" ht="16.2">
      <c r="B330" s="293">
        <v>44727</v>
      </c>
      <c r="C330" s="294">
        <v>223</v>
      </c>
      <c r="D330" s="294">
        <v>225</v>
      </c>
      <c r="E330" s="295">
        <v>45.85</v>
      </c>
      <c r="F330" s="295"/>
      <c r="G330" s="295">
        <f t="shared" si="6"/>
        <v>45.85</v>
      </c>
      <c r="H330" s="1"/>
      <c r="J330" s="28">
        <f t="shared" si="7"/>
        <v>412.5</v>
      </c>
    </row>
    <row r="331" spans="2:10" ht="16.2">
      <c r="B331" s="293">
        <v>44728</v>
      </c>
      <c r="C331" s="294">
        <v>226</v>
      </c>
      <c r="D331" s="294">
        <v>226</v>
      </c>
      <c r="E331" s="295">
        <v>7.5</v>
      </c>
      <c r="F331" s="295"/>
      <c r="G331" s="295">
        <f t="shared" si="6"/>
        <v>7.5</v>
      </c>
      <c r="H331" s="1"/>
      <c r="J331" s="28">
        <f t="shared" si="7"/>
        <v>420</v>
      </c>
    </row>
    <row r="332" spans="2:10" ht="16.2">
      <c r="B332" s="293">
        <v>44729</v>
      </c>
      <c r="C332" s="294">
        <v>227</v>
      </c>
      <c r="D332" s="294">
        <v>227</v>
      </c>
      <c r="E332" s="295">
        <v>18.600000000000001</v>
      </c>
      <c r="F332" s="295"/>
      <c r="G332" s="295">
        <f t="shared" si="6"/>
        <v>18.600000000000001</v>
      </c>
      <c r="H332" s="1"/>
      <c r="J332" s="28">
        <f t="shared" si="7"/>
        <v>438.6</v>
      </c>
    </row>
    <row r="333" spans="2:10" ht="16.2">
      <c r="B333" s="293">
        <v>44730</v>
      </c>
      <c r="C333" s="294">
        <v>228</v>
      </c>
      <c r="D333" s="294">
        <v>229</v>
      </c>
      <c r="E333" s="295">
        <v>35.75</v>
      </c>
      <c r="F333" s="295"/>
      <c r="G333" s="295">
        <f t="shared" si="6"/>
        <v>35.75</v>
      </c>
      <c r="H333" s="1"/>
      <c r="J333" s="28">
        <f t="shared" si="7"/>
        <v>474.35</v>
      </c>
    </row>
    <row r="334" spans="2:10" ht="16.2">
      <c r="B334" s="293">
        <v>44731</v>
      </c>
      <c r="C334" s="294">
        <v>230</v>
      </c>
      <c r="D334" s="294">
        <v>231</v>
      </c>
      <c r="E334" s="295">
        <v>36.35</v>
      </c>
      <c r="F334" s="295"/>
      <c r="G334" s="295">
        <f t="shared" si="6"/>
        <v>36.35</v>
      </c>
      <c r="H334" s="1"/>
      <c r="J334" s="28">
        <f t="shared" si="7"/>
        <v>510.70000000000005</v>
      </c>
    </row>
    <row r="335" spans="2:10" ht="16.2">
      <c r="B335" s="293">
        <v>44732</v>
      </c>
      <c r="C335" s="294">
        <v>232</v>
      </c>
      <c r="D335" s="294">
        <v>234</v>
      </c>
      <c r="E335" s="295">
        <v>48.85</v>
      </c>
      <c r="F335" s="295"/>
      <c r="G335" s="295">
        <f t="shared" si="6"/>
        <v>48.85</v>
      </c>
      <c r="H335" s="1"/>
      <c r="J335" s="28">
        <f t="shared" si="7"/>
        <v>559.55000000000007</v>
      </c>
    </row>
    <row r="336" spans="2:10" ht="16.2">
      <c r="B336" s="293">
        <v>44733</v>
      </c>
      <c r="C336" s="294">
        <v>235</v>
      </c>
      <c r="D336" s="294">
        <v>235</v>
      </c>
      <c r="E336" s="295">
        <v>3.05</v>
      </c>
      <c r="F336" s="295"/>
      <c r="G336" s="295">
        <f t="shared" si="6"/>
        <v>3.05</v>
      </c>
      <c r="H336" s="1"/>
      <c r="J336" s="28">
        <f t="shared" si="7"/>
        <v>562.6</v>
      </c>
    </row>
    <row r="337" spans="2:10" ht="16.2">
      <c r="B337" s="293">
        <v>44734</v>
      </c>
      <c r="C337" s="294">
        <v>236</v>
      </c>
      <c r="D337" s="294">
        <v>237</v>
      </c>
      <c r="E337" s="295">
        <v>49.7</v>
      </c>
      <c r="F337" s="295"/>
      <c r="G337" s="295">
        <f t="shared" si="6"/>
        <v>49.7</v>
      </c>
      <c r="H337" s="1"/>
      <c r="J337" s="28">
        <f t="shared" si="7"/>
        <v>612.30000000000007</v>
      </c>
    </row>
    <row r="338" spans="2:10" ht="16.2">
      <c r="B338" s="293">
        <v>44735</v>
      </c>
      <c r="C338" s="294">
        <v>238</v>
      </c>
      <c r="D338" s="294">
        <v>239</v>
      </c>
      <c r="E338" s="295">
        <v>34</v>
      </c>
      <c r="F338" s="295"/>
      <c r="G338" s="295">
        <f t="shared" si="6"/>
        <v>34</v>
      </c>
      <c r="H338" s="1"/>
      <c r="J338" s="28">
        <f t="shared" si="7"/>
        <v>646.30000000000007</v>
      </c>
    </row>
    <row r="339" spans="2:10" ht="16.2">
      <c r="B339" s="293">
        <v>44736</v>
      </c>
      <c r="C339" s="294">
        <v>240</v>
      </c>
      <c r="D339" s="294">
        <v>241</v>
      </c>
      <c r="E339" s="295">
        <v>26.75</v>
      </c>
      <c r="F339" s="295"/>
      <c r="G339" s="295">
        <f t="shared" si="6"/>
        <v>26.75</v>
      </c>
      <c r="H339" s="1"/>
      <c r="J339" s="28">
        <f t="shared" si="7"/>
        <v>673.05000000000007</v>
      </c>
    </row>
    <row r="340" spans="2:10" ht="16.2">
      <c r="B340" s="293">
        <v>44737</v>
      </c>
      <c r="C340" s="294">
        <v>242</v>
      </c>
      <c r="D340" s="294">
        <v>243</v>
      </c>
      <c r="E340" s="295">
        <v>54.25</v>
      </c>
      <c r="F340" s="295"/>
      <c r="G340" s="295">
        <f t="shared" si="6"/>
        <v>54.25</v>
      </c>
      <c r="H340" s="1"/>
      <c r="J340" s="28">
        <f t="shared" si="7"/>
        <v>727.30000000000007</v>
      </c>
    </row>
    <row r="341" spans="2:10" ht="16.2">
      <c r="B341" s="293">
        <v>44738</v>
      </c>
      <c r="C341" s="294">
        <v>244</v>
      </c>
      <c r="D341" s="294">
        <v>245</v>
      </c>
      <c r="E341" s="295">
        <v>36.9</v>
      </c>
      <c r="F341" s="295"/>
      <c r="G341" s="295">
        <f t="shared" si="6"/>
        <v>36.9</v>
      </c>
      <c r="H341" s="1"/>
      <c r="J341" s="28">
        <f t="shared" si="7"/>
        <v>764.2</v>
      </c>
    </row>
    <row r="342" spans="2:10" ht="16.2">
      <c r="B342" s="293">
        <v>44739</v>
      </c>
      <c r="C342" s="294">
        <v>246</v>
      </c>
      <c r="D342" s="294">
        <v>246</v>
      </c>
      <c r="E342" s="295">
        <v>9</v>
      </c>
      <c r="F342" s="295"/>
      <c r="G342" s="295">
        <f t="shared" si="6"/>
        <v>9</v>
      </c>
      <c r="H342" s="1"/>
      <c r="J342" s="28">
        <f t="shared" si="7"/>
        <v>773.2</v>
      </c>
    </row>
    <row r="343" spans="2:10" ht="16.2">
      <c r="B343" s="293">
        <v>44740</v>
      </c>
      <c r="C343" s="294">
        <v>247</v>
      </c>
      <c r="D343" s="294">
        <v>247</v>
      </c>
      <c r="E343" s="295">
        <v>21.25</v>
      </c>
      <c r="F343" s="295"/>
      <c r="G343" s="295">
        <f t="shared" si="6"/>
        <v>21.25</v>
      </c>
      <c r="H343" s="1"/>
      <c r="J343" s="28">
        <f t="shared" si="7"/>
        <v>794.45</v>
      </c>
    </row>
    <row r="344" spans="2:10" ht="16.2">
      <c r="B344" s="293">
        <v>44741</v>
      </c>
      <c r="C344" s="294">
        <v>248</v>
      </c>
      <c r="D344" s="294">
        <v>249</v>
      </c>
      <c r="E344" s="295">
        <v>29.6</v>
      </c>
      <c r="F344" s="295"/>
      <c r="G344" s="295">
        <f t="shared" si="6"/>
        <v>29.6</v>
      </c>
      <c r="H344" s="1"/>
      <c r="J344" s="28">
        <f t="shared" si="7"/>
        <v>824.05000000000007</v>
      </c>
    </row>
    <row r="345" spans="2:10" ht="16.2">
      <c r="B345" s="293">
        <v>44742</v>
      </c>
      <c r="C345" s="294">
        <v>250</v>
      </c>
      <c r="D345" s="294">
        <v>250</v>
      </c>
      <c r="E345" s="295">
        <v>2.1</v>
      </c>
      <c r="F345" s="295"/>
      <c r="G345" s="295">
        <f t="shared" si="6"/>
        <v>2.1</v>
      </c>
      <c r="H345" s="1"/>
      <c r="J345" s="28">
        <f t="shared" si="7"/>
        <v>826.15000000000009</v>
      </c>
    </row>
    <row r="346" spans="2:10" ht="16.2">
      <c r="B346" s="222"/>
      <c r="C346" s="200"/>
      <c r="D346" s="200"/>
      <c r="E346" s="27"/>
      <c r="F346" s="27"/>
      <c r="G346" s="27"/>
      <c r="H346" s="1"/>
    </row>
    <row r="347" spans="2:10" ht="13.8">
      <c r="B347" s="119"/>
      <c r="C347" s="120" t="s">
        <v>10</v>
      </c>
      <c r="D347" s="121"/>
      <c r="E347" s="159">
        <f>SUM(E308:E346)</f>
        <v>2362.35</v>
      </c>
      <c r="F347" s="159">
        <f>SUM(F309:F313)</f>
        <v>0</v>
      </c>
      <c r="G347" s="159">
        <f>SUM(G308:G346)</f>
        <v>2362.35</v>
      </c>
      <c r="H347" s="122"/>
    </row>
    <row r="348" spans="2:10">
      <c r="G348" s="28"/>
    </row>
    <row r="349" spans="2:10" ht="17.399999999999999">
      <c r="B349" s="83"/>
      <c r="C349" s="90" t="s">
        <v>39</v>
      </c>
      <c r="D349" s="90"/>
      <c r="E349" s="90"/>
      <c r="F349" s="90"/>
      <c r="G349" s="153">
        <f>+E347/1.13</f>
        <v>2090.575221238938</v>
      </c>
    </row>
    <row r="350" spans="2:10" ht="18" thickBot="1">
      <c r="B350" s="83"/>
      <c r="C350" s="92" t="s">
        <v>40</v>
      </c>
      <c r="D350" s="90" t="s">
        <v>41</v>
      </c>
      <c r="E350" s="90"/>
      <c r="F350" s="90"/>
      <c r="G350" s="154">
        <f>+G349*0.13</f>
        <v>271.77477876106195</v>
      </c>
      <c r="H350" s="29"/>
    </row>
    <row r="351" spans="2:10" ht="18" thickTop="1">
      <c r="B351" s="83"/>
      <c r="C351" s="90"/>
      <c r="D351" s="90" t="s">
        <v>6</v>
      </c>
      <c r="E351" s="90"/>
      <c r="F351" s="90"/>
      <c r="G351" s="153">
        <f>SUM(G349:G350)</f>
        <v>2362.35</v>
      </c>
    </row>
    <row r="352" spans="2:10" ht="15.6">
      <c r="B352" s="83"/>
      <c r="C352" s="83"/>
      <c r="E352" s="83"/>
      <c r="F352" s="83"/>
      <c r="G352" s="83"/>
      <c r="H352" s="29"/>
    </row>
    <row r="353" spans="2:8" ht="16.2" thickBot="1">
      <c r="B353" s="91" t="s">
        <v>11</v>
      </c>
      <c r="C353" s="91"/>
      <c r="D353" s="83"/>
      <c r="E353" s="83"/>
      <c r="F353" s="83"/>
      <c r="G353" s="104"/>
    </row>
    <row r="354" spans="2:8" ht="17.399999999999999">
      <c r="B354" s="90" t="s">
        <v>84</v>
      </c>
      <c r="C354" s="83"/>
      <c r="D354" s="83"/>
      <c r="E354" s="83"/>
      <c r="F354" s="83"/>
      <c r="G354" s="83"/>
    </row>
    <row r="355" spans="2:8" ht="15.6">
      <c r="B355" s="83" t="s">
        <v>12</v>
      </c>
      <c r="C355" s="83"/>
      <c r="D355" s="83"/>
      <c r="E355" s="83"/>
      <c r="F355" s="83"/>
      <c r="G355" s="83"/>
    </row>
    <row r="366" spans="2:8" ht="15.6">
      <c r="B366" s="116"/>
      <c r="C366" s="117" t="s">
        <v>14</v>
      </c>
      <c r="D366" s="117"/>
      <c r="E366" s="117"/>
      <c r="F366" s="117" t="s">
        <v>79</v>
      </c>
      <c r="G366" s="117"/>
      <c r="H366" s="117"/>
    </row>
    <row r="367" spans="2:8" ht="15.6">
      <c r="B367" s="116"/>
      <c r="C367" s="117" t="s">
        <v>32</v>
      </c>
      <c r="D367" s="117"/>
      <c r="E367" s="117"/>
      <c r="F367" s="117" t="s">
        <v>80</v>
      </c>
      <c r="G367" s="117"/>
      <c r="H367" s="117"/>
    </row>
    <row r="368" spans="2:8" ht="19.2">
      <c r="B368" s="116" t="s">
        <v>16</v>
      </c>
      <c r="C368" s="238" t="s">
        <v>373</v>
      </c>
      <c r="D368" s="116" t="s">
        <v>33</v>
      </c>
      <c r="E368" s="202">
        <v>2022</v>
      </c>
      <c r="F368" s="117" t="s">
        <v>34</v>
      </c>
      <c r="G368" s="118" t="s">
        <v>78</v>
      </c>
      <c r="H368" s="116"/>
    </row>
    <row r="369" spans="2:8">
      <c r="B369" s="82"/>
      <c r="C369" s="82"/>
      <c r="D369" s="82"/>
      <c r="E369" s="82"/>
      <c r="F369" s="82"/>
      <c r="G369" s="82"/>
      <c r="H369" s="82"/>
    </row>
    <row r="370" spans="2:8">
      <c r="B370" s="126" t="s">
        <v>0</v>
      </c>
      <c r="C370" s="126" t="s">
        <v>35</v>
      </c>
      <c r="D370" s="126" t="s">
        <v>36</v>
      </c>
      <c r="E370" s="126" t="s">
        <v>37</v>
      </c>
      <c r="F370" s="126" t="s">
        <v>38</v>
      </c>
      <c r="G370" s="126" t="s">
        <v>38</v>
      </c>
      <c r="H370" s="126"/>
    </row>
    <row r="371" spans="2:8">
      <c r="B371" s="127"/>
      <c r="C371" s="127"/>
      <c r="D371" s="127"/>
      <c r="E371" s="127" t="s">
        <v>5</v>
      </c>
      <c r="F371" s="127" t="s">
        <v>4</v>
      </c>
      <c r="G371" s="127" t="s">
        <v>10</v>
      </c>
      <c r="H371" s="127"/>
    </row>
    <row r="372" spans="2:8" ht="16.2">
      <c r="B372" s="326">
        <v>44743</v>
      </c>
      <c r="C372" s="223">
        <v>148</v>
      </c>
      <c r="D372" s="223">
        <v>166</v>
      </c>
      <c r="E372" s="327">
        <v>207.5</v>
      </c>
      <c r="F372" s="327"/>
      <c r="G372" s="327">
        <f>E372+F372</f>
        <v>207.5</v>
      </c>
      <c r="H372" s="325" t="s">
        <v>444</v>
      </c>
    </row>
    <row r="373" spans="2:8" ht="16.2">
      <c r="B373" s="328">
        <v>44748</v>
      </c>
      <c r="C373" s="223">
        <v>167</v>
      </c>
      <c r="D373" s="223">
        <v>178</v>
      </c>
      <c r="E373" s="327">
        <v>133.75</v>
      </c>
      <c r="F373" s="327"/>
      <c r="G373" s="327">
        <f>E373+F373</f>
        <v>133.75</v>
      </c>
      <c r="H373" s="325" t="s">
        <v>444</v>
      </c>
    </row>
    <row r="374" spans="2:8" ht="16.2">
      <c r="B374" s="328">
        <v>44750</v>
      </c>
      <c r="C374" s="223">
        <v>179</v>
      </c>
      <c r="D374" s="223">
        <v>196</v>
      </c>
      <c r="E374" s="327">
        <v>195.75</v>
      </c>
      <c r="F374" s="327"/>
      <c r="G374" s="327">
        <f t="shared" ref="G374:G408" si="8">E374+F374</f>
        <v>195.75</v>
      </c>
      <c r="H374" s="325" t="s">
        <v>444</v>
      </c>
    </row>
    <row r="375" spans="2:8" ht="16.2">
      <c r="B375" s="328">
        <v>44755</v>
      </c>
      <c r="C375" s="223">
        <v>197</v>
      </c>
      <c r="D375" s="223">
        <v>213</v>
      </c>
      <c r="E375" s="327">
        <v>204.75</v>
      </c>
      <c r="F375" s="327"/>
      <c r="G375" s="327">
        <f t="shared" si="8"/>
        <v>204.75</v>
      </c>
      <c r="H375" s="325" t="s">
        <v>444</v>
      </c>
    </row>
    <row r="376" spans="2:8" ht="16.2">
      <c r="B376" s="328">
        <v>44757</v>
      </c>
      <c r="C376" s="223">
        <v>214</v>
      </c>
      <c r="D376" s="223">
        <v>231</v>
      </c>
      <c r="E376" s="327">
        <v>215</v>
      </c>
      <c r="F376" s="327"/>
      <c r="G376" s="327">
        <f t="shared" si="8"/>
        <v>215</v>
      </c>
      <c r="H376" s="325" t="s">
        <v>444</v>
      </c>
    </row>
    <row r="377" spans="2:8" ht="16.2">
      <c r="B377" s="328">
        <v>44762</v>
      </c>
      <c r="C377" s="223">
        <v>232</v>
      </c>
      <c r="D377" s="223">
        <v>248</v>
      </c>
      <c r="E377" s="327">
        <v>181</v>
      </c>
      <c r="F377" s="327"/>
      <c r="G377" s="327">
        <f t="shared" si="8"/>
        <v>181</v>
      </c>
      <c r="H377" s="325" t="s">
        <v>444</v>
      </c>
    </row>
    <row r="378" spans="2:8" ht="16.2">
      <c r="B378" s="328">
        <v>44764</v>
      </c>
      <c r="C378" s="223">
        <v>249</v>
      </c>
      <c r="D378" s="223">
        <v>267</v>
      </c>
      <c r="E378" s="327">
        <v>211</v>
      </c>
      <c r="F378" s="327"/>
      <c r="G378" s="327">
        <f t="shared" si="8"/>
        <v>211</v>
      </c>
      <c r="H378" s="325" t="s">
        <v>444</v>
      </c>
    </row>
    <row r="379" spans="2:8" ht="16.2">
      <c r="B379" s="328">
        <v>44769</v>
      </c>
      <c r="C379" s="223">
        <v>268</v>
      </c>
      <c r="D379" s="223">
        <v>291</v>
      </c>
      <c r="E379" s="327">
        <v>274.5</v>
      </c>
      <c r="F379" s="327"/>
      <c r="G379" s="327">
        <f t="shared" si="8"/>
        <v>274.5</v>
      </c>
      <c r="H379" s="325" t="s">
        <v>444</v>
      </c>
    </row>
    <row r="380" spans="2:8" ht="16.2">
      <c r="B380" s="328">
        <v>44771</v>
      </c>
      <c r="C380" s="223">
        <v>292</v>
      </c>
      <c r="D380" s="223">
        <v>313</v>
      </c>
      <c r="E380" s="327">
        <v>250.5</v>
      </c>
      <c r="F380" s="327"/>
      <c r="G380" s="327">
        <f t="shared" si="8"/>
        <v>250.5</v>
      </c>
      <c r="H380" s="325" t="s">
        <v>444</v>
      </c>
    </row>
    <row r="381" spans="2:8" ht="16.2">
      <c r="B381" s="293">
        <v>44743</v>
      </c>
      <c r="C381" s="294">
        <v>251</v>
      </c>
      <c r="D381" s="294">
        <v>252</v>
      </c>
      <c r="E381" s="295">
        <v>30</v>
      </c>
      <c r="F381" s="295"/>
      <c r="G381" s="295">
        <f t="shared" si="8"/>
        <v>30</v>
      </c>
      <c r="H381" s="32" t="s">
        <v>445</v>
      </c>
    </row>
    <row r="382" spans="2:8" ht="16.2">
      <c r="B382" s="293">
        <v>44744</v>
      </c>
      <c r="C382" s="294">
        <v>253</v>
      </c>
      <c r="D382" s="294">
        <v>254</v>
      </c>
      <c r="E382" s="295">
        <v>37.35</v>
      </c>
      <c r="F382" s="295"/>
      <c r="G382" s="295">
        <f t="shared" si="8"/>
        <v>37.35</v>
      </c>
      <c r="H382" s="32" t="s">
        <v>445</v>
      </c>
    </row>
    <row r="383" spans="2:8" ht="16.2">
      <c r="B383" s="293">
        <v>44745</v>
      </c>
      <c r="C383" s="294">
        <v>255</v>
      </c>
      <c r="D383" s="294">
        <v>256</v>
      </c>
      <c r="E383" s="295">
        <v>23.75</v>
      </c>
      <c r="F383" s="295"/>
      <c r="G383" s="295">
        <f t="shared" si="8"/>
        <v>23.75</v>
      </c>
      <c r="H383" s="32" t="s">
        <v>445</v>
      </c>
    </row>
    <row r="384" spans="2:8" ht="16.2">
      <c r="B384" s="293">
        <v>44746</v>
      </c>
      <c r="C384" s="294">
        <v>257</v>
      </c>
      <c r="D384" s="294">
        <v>258</v>
      </c>
      <c r="E384" s="295">
        <v>15.25</v>
      </c>
      <c r="F384" s="295"/>
      <c r="G384" s="295">
        <f t="shared" si="8"/>
        <v>15.25</v>
      </c>
      <c r="H384" s="32" t="s">
        <v>445</v>
      </c>
    </row>
    <row r="385" spans="2:8" ht="16.2">
      <c r="B385" s="293">
        <v>44747</v>
      </c>
      <c r="C385" s="294">
        <v>259</v>
      </c>
      <c r="D385" s="294">
        <v>261</v>
      </c>
      <c r="E385" s="295">
        <v>36.5</v>
      </c>
      <c r="F385" s="295"/>
      <c r="G385" s="295">
        <f t="shared" si="8"/>
        <v>36.5</v>
      </c>
      <c r="H385" s="32" t="s">
        <v>445</v>
      </c>
    </row>
    <row r="386" spans="2:8" ht="16.2">
      <c r="B386" s="293">
        <v>44748</v>
      </c>
      <c r="C386" s="294">
        <v>262</v>
      </c>
      <c r="D386" s="294">
        <v>263</v>
      </c>
      <c r="E386" s="295">
        <v>34.950000000000003</v>
      </c>
      <c r="F386" s="295"/>
      <c r="G386" s="295">
        <f t="shared" si="8"/>
        <v>34.950000000000003</v>
      </c>
      <c r="H386" s="32" t="s">
        <v>445</v>
      </c>
    </row>
    <row r="387" spans="2:8" ht="16.2">
      <c r="B387" s="293">
        <v>44749</v>
      </c>
      <c r="C387" s="294">
        <v>264</v>
      </c>
      <c r="D387" s="294">
        <v>265</v>
      </c>
      <c r="E387" s="295">
        <v>37.299999999999997</v>
      </c>
      <c r="F387" s="295"/>
      <c r="G387" s="295">
        <f t="shared" si="8"/>
        <v>37.299999999999997</v>
      </c>
      <c r="H387" s="32" t="s">
        <v>445</v>
      </c>
    </row>
    <row r="388" spans="2:8" ht="16.2">
      <c r="B388" s="293">
        <v>44751</v>
      </c>
      <c r="C388" s="294">
        <v>266</v>
      </c>
      <c r="D388" s="294">
        <v>267</v>
      </c>
      <c r="E388" s="295">
        <v>32.5</v>
      </c>
      <c r="F388" s="295"/>
      <c r="G388" s="295">
        <f t="shared" si="8"/>
        <v>32.5</v>
      </c>
      <c r="H388" s="32" t="s">
        <v>445</v>
      </c>
    </row>
    <row r="389" spans="2:8" ht="16.2">
      <c r="B389" s="293">
        <v>44752</v>
      </c>
      <c r="C389" s="294">
        <v>268</v>
      </c>
      <c r="D389" s="294">
        <v>269</v>
      </c>
      <c r="E389" s="295">
        <v>92.4</v>
      </c>
      <c r="F389" s="295"/>
      <c r="G389" s="295">
        <f t="shared" si="8"/>
        <v>92.4</v>
      </c>
      <c r="H389" s="32" t="s">
        <v>445</v>
      </c>
    </row>
    <row r="390" spans="2:8" ht="16.2">
      <c r="B390" s="293">
        <v>44753</v>
      </c>
      <c r="C390" s="294">
        <v>270</v>
      </c>
      <c r="D390" s="294">
        <v>271</v>
      </c>
      <c r="E390" s="295">
        <v>15</v>
      </c>
      <c r="F390" s="295"/>
      <c r="G390" s="295">
        <f t="shared" si="8"/>
        <v>15</v>
      </c>
      <c r="H390" s="32" t="s">
        <v>445</v>
      </c>
    </row>
    <row r="391" spans="2:8" ht="16.2">
      <c r="B391" s="293">
        <v>44754</v>
      </c>
      <c r="C391" s="294">
        <v>272</v>
      </c>
      <c r="D391" s="294">
        <v>273</v>
      </c>
      <c r="E391" s="295">
        <v>44.5</v>
      </c>
      <c r="F391" s="295"/>
      <c r="G391" s="295">
        <f t="shared" si="8"/>
        <v>44.5</v>
      </c>
      <c r="H391" s="32" t="s">
        <v>445</v>
      </c>
    </row>
    <row r="392" spans="2:8" ht="16.2">
      <c r="B392" s="293">
        <v>44755</v>
      </c>
      <c r="C392" s="294">
        <v>274</v>
      </c>
      <c r="D392" s="294">
        <v>274</v>
      </c>
      <c r="E392" s="295">
        <v>8.25</v>
      </c>
      <c r="F392" s="295"/>
      <c r="G392" s="295">
        <f t="shared" si="8"/>
        <v>8.25</v>
      </c>
      <c r="H392" s="32" t="s">
        <v>445</v>
      </c>
    </row>
    <row r="393" spans="2:8" ht="16.2">
      <c r="B393" s="293">
        <v>44756</v>
      </c>
      <c r="C393" s="294">
        <v>275</v>
      </c>
      <c r="D393" s="294">
        <v>276</v>
      </c>
      <c r="E393" s="295">
        <v>34.799999999999997</v>
      </c>
      <c r="F393" s="295"/>
      <c r="G393" s="295">
        <f t="shared" si="8"/>
        <v>34.799999999999997</v>
      </c>
      <c r="H393" s="32" t="s">
        <v>445</v>
      </c>
    </row>
    <row r="394" spans="2:8" ht="16.2">
      <c r="B394" s="293">
        <v>44757</v>
      </c>
      <c r="C394" s="294">
        <v>277</v>
      </c>
      <c r="D394" s="294">
        <v>278</v>
      </c>
      <c r="E394" s="295">
        <v>45.3</v>
      </c>
      <c r="F394" s="295"/>
      <c r="G394" s="295">
        <f t="shared" si="8"/>
        <v>45.3</v>
      </c>
      <c r="H394" s="32" t="s">
        <v>445</v>
      </c>
    </row>
    <row r="395" spans="2:8" ht="16.2">
      <c r="B395" s="293">
        <v>44758</v>
      </c>
      <c r="C395" s="294">
        <v>279</v>
      </c>
      <c r="D395" s="294">
        <v>280</v>
      </c>
      <c r="E395" s="295">
        <v>40.549999999999997</v>
      </c>
      <c r="F395" s="295"/>
      <c r="G395" s="295">
        <f t="shared" si="8"/>
        <v>40.549999999999997</v>
      </c>
      <c r="H395" s="32" t="s">
        <v>445</v>
      </c>
    </row>
    <row r="396" spans="2:8" ht="16.2">
      <c r="B396" s="293">
        <v>44759</v>
      </c>
      <c r="C396" s="294">
        <v>281</v>
      </c>
      <c r="D396" s="294">
        <v>282</v>
      </c>
      <c r="E396" s="295">
        <v>14.1</v>
      </c>
      <c r="F396" s="295"/>
      <c r="G396" s="295">
        <f t="shared" si="8"/>
        <v>14.1</v>
      </c>
      <c r="H396" s="32" t="s">
        <v>445</v>
      </c>
    </row>
    <row r="397" spans="2:8" ht="16.2">
      <c r="B397" s="293">
        <v>44760</v>
      </c>
      <c r="C397" s="294">
        <v>283</v>
      </c>
      <c r="D397" s="294">
        <v>285</v>
      </c>
      <c r="E397" s="295">
        <v>23.7</v>
      </c>
      <c r="F397" s="295"/>
      <c r="G397" s="295">
        <f t="shared" si="8"/>
        <v>23.7</v>
      </c>
      <c r="H397" s="32" t="s">
        <v>445</v>
      </c>
    </row>
    <row r="398" spans="2:8" ht="16.2">
      <c r="B398" s="293">
        <v>44761</v>
      </c>
      <c r="C398" s="294">
        <v>286</v>
      </c>
      <c r="D398" s="294">
        <v>287</v>
      </c>
      <c r="E398" s="295">
        <v>25.75</v>
      </c>
      <c r="F398" s="295"/>
      <c r="G398" s="295">
        <f t="shared" si="8"/>
        <v>25.75</v>
      </c>
      <c r="H398" s="32" t="s">
        <v>445</v>
      </c>
    </row>
    <row r="399" spans="2:8" ht="16.2">
      <c r="B399" s="293">
        <v>44762</v>
      </c>
      <c r="C399" s="294">
        <v>288</v>
      </c>
      <c r="D399" s="294">
        <v>288</v>
      </c>
      <c r="E399" s="295">
        <v>1.25</v>
      </c>
      <c r="F399" s="295"/>
      <c r="G399" s="295">
        <f t="shared" si="8"/>
        <v>1.25</v>
      </c>
      <c r="H399" s="32" t="s">
        <v>445</v>
      </c>
    </row>
    <row r="400" spans="2:8" ht="16.2">
      <c r="B400" s="293">
        <v>44763</v>
      </c>
      <c r="C400" s="294">
        <v>289</v>
      </c>
      <c r="D400" s="294">
        <v>291</v>
      </c>
      <c r="E400" s="295">
        <v>32.35</v>
      </c>
      <c r="F400" s="295"/>
      <c r="G400" s="295">
        <f t="shared" si="8"/>
        <v>32.35</v>
      </c>
      <c r="H400" s="32" t="s">
        <v>445</v>
      </c>
    </row>
    <row r="401" spans="2:8" ht="16.2">
      <c r="B401" s="293">
        <v>44765</v>
      </c>
      <c r="C401" s="294">
        <v>292</v>
      </c>
      <c r="D401" s="294">
        <v>292</v>
      </c>
      <c r="E401" s="295">
        <v>24.5</v>
      </c>
      <c r="F401" s="295"/>
      <c r="G401" s="295">
        <f t="shared" si="8"/>
        <v>24.5</v>
      </c>
      <c r="H401" s="32" t="s">
        <v>445</v>
      </c>
    </row>
    <row r="402" spans="2:8" ht="16.2">
      <c r="B402" s="293">
        <v>44766</v>
      </c>
      <c r="C402" s="294">
        <v>293</v>
      </c>
      <c r="D402" s="294">
        <v>294</v>
      </c>
      <c r="E402" s="295">
        <v>57.9</v>
      </c>
      <c r="F402" s="295"/>
      <c r="G402" s="295">
        <f t="shared" si="8"/>
        <v>57.9</v>
      </c>
      <c r="H402" s="32" t="s">
        <v>445</v>
      </c>
    </row>
    <row r="403" spans="2:8" ht="16.2">
      <c r="B403" s="293">
        <v>44767</v>
      </c>
      <c r="C403" s="294">
        <v>295</v>
      </c>
      <c r="D403" s="294">
        <v>295</v>
      </c>
      <c r="E403" s="295">
        <v>2.25</v>
      </c>
      <c r="F403" s="295"/>
      <c r="G403" s="295">
        <f t="shared" si="8"/>
        <v>2.25</v>
      </c>
      <c r="H403" s="32" t="s">
        <v>445</v>
      </c>
    </row>
    <row r="404" spans="2:8" ht="16.2">
      <c r="B404" s="293">
        <v>44768</v>
      </c>
      <c r="C404" s="294">
        <v>296</v>
      </c>
      <c r="D404" s="294">
        <v>297</v>
      </c>
      <c r="E404" s="295">
        <v>18.25</v>
      </c>
      <c r="F404" s="295"/>
      <c r="G404" s="295">
        <f t="shared" si="8"/>
        <v>18.25</v>
      </c>
      <c r="H404" s="32" t="s">
        <v>445</v>
      </c>
    </row>
    <row r="405" spans="2:8" ht="16.2">
      <c r="B405" s="293">
        <v>44769</v>
      </c>
      <c r="C405" s="294">
        <v>298</v>
      </c>
      <c r="D405" s="294">
        <v>299</v>
      </c>
      <c r="E405" s="295">
        <v>44.75</v>
      </c>
      <c r="F405" s="295"/>
      <c r="G405" s="295">
        <f t="shared" si="8"/>
        <v>44.75</v>
      </c>
      <c r="H405" s="32" t="s">
        <v>445</v>
      </c>
    </row>
    <row r="406" spans="2:8" ht="16.2">
      <c r="B406" s="293">
        <v>44770</v>
      </c>
      <c r="C406" s="294">
        <v>300</v>
      </c>
      <c r="D406" s="294">
        <v>301</v>
      </c>
      <c r="E406" s="295">
        <v>44.75</v>
      </c>
      <c r="F406" s="295"/>
      <c r="G406" s="295">
        <f t="shared" si="8"/>
        <v>44.75</v>
      </c>
      <c r="H406" s="32" t="s">
        <v>445</v>
      </c>
    </row>
    <row r="407" spans="2:8" ht="16.2">
      <c r="B407" s="293">
        <v>44771</v>
      </c>
      <c r="C407" s="294">
        <v>302</v>
      </c>
      <c r="D407" s="294">
        <v>303</v>
      </c>
      <c r="E407" s="295">
        <v>34</v>
      </c>
      <c r="F407" s="295"/>
      <c r="G407" s="295">
        <f t="shared" si="8"/>
        <v>34</v>
      </c>
      <c r="H407" s="32" t="s">
        <v>445</v>
      </c>
    </row>
    <row r="408" spans="2:8" ht="16.2">
      <c r="B408" s="293">
        <v>44772</v>
      </c>
      <c r="C408" s="294">
        <v>304</v>
      </c>
      <c r="D408" s="294">
        <v>308</v>
      </c>
      <c r="E408" s="295">
        <v>78.650000000000006</v>
      </c>
      <c r="F408" s="295"/>
      <c r="G408" s="295">
        <f t="shared" si="8"/>
        <v>78.650000000000006</v>
      </c>
      <c r="H408" s="32" t="s">
        <v>445</v>
      </c>
    </row>
    <row r="409" spans="2:8" ht="16.2">
      <c r="B409" s="222"/>
      <c r="C409" s="200"/>
      <c r="D409" s="200"/>
      <c r="E409" s="27"/>
      <c r="F409" s="27"/>
      <c r="G409" s="27"/>
      <c r="H409" s="1"/>
    </row>
    <row r="410" spans="2:8" ht="13.8">
      <c r="B410" s="119"/>
      <c r="C410" s="120" t="s">
        <v>10</v>
      </c>
      <c r="D410" s="121"/>
      <c r="E410" s="159">
        <f>SUM(E372:E409)</f>
        <v>2804.3500000000004</v>
      </c>
      <c r="F410" s="159">
        <f>SUM(F373:F377)</f>
        <v>0</v>
      </c>
      <c r="G410" s="159">
        <f>SUM(G372:G409)</f>
        <v>2804.3500000000004</v>
      </c>
      <c r="H410" s="122"/>
    </row>
    <row r="411" spans="2:8">
      <c r="G411" s="28"/>
    </row>
    <row r="412" spans="2:8" ht="17.399999999999999">
      <c r="B412" s="83"/>
      <c r="C412" s="90" t="s">
        <v>39</v>
      </c>
      <c r="D412" s="90"/>
      <c r="E412" s="90"/>
      <c r="F412" s="90"/>
      <c r="G412" s="153">
        <f>+E410/1.13</f>
        <v>2481.7256637168148</v>
      </c>
    </row>
    <row r="413" spans="2:8" ht="18" thickBot="1">
      <c r="B413" s="83"/>
      <c r="C413" s="92" t="s">
        <v>40</v>
      </c>
      <c r="D413" s="90" t="s">
        <v>41</v>
      </c>
      <c r="E413" s="90"/>
      <c r="F413" s="90"/>
      <c r="G413" s="154">
        <f>+G412*0.13</f>
        <v>322.62433628318593</v>
      </c>
      <c r="H413" s="29"/>
    </row>
    <row r="414" spans="2:8" ht="18" thickTop="1">
      <c r="B414" s="83"/>
      <c r="C414" s="90"/>
      <c r="D414" s="90" t="s">
        <v>6</v>
      </c>
      <c r="E414" s="90"/>
      <c r="F414" s="90"/>
      <c r="G414" s="153">
        <f>SUM(G412:G413)</f>
        <v>2804.3500000000008</v>
      </c>
    </row>
    <row r="415" spans="2:8" ht="15.6">
      <c r="B415" s="83"/>
      <c r="C415" s="83"/>
      <c r="E415" s="83"/>
      <c r="F415" s="83"/>
      <c r="G415" s="83"/>
      <c r="H415" s="29"/>
    </row>
    <row r="416" spans="2:8" ht="16.2" thickBot="1">
      <c r="B416" s="91" t="s">
        <v>11</v>
      </c>
      <c r="C416" s="91"/>
      <c r="D416" s="83"/>
      <c r="E416" s="83"/>
      <c r="F416" s="83"/>
      <c r="G416" s="104"/>
    </row>
    <row r="417" spans="2:8" ht="17.399999999999999">
      <c r="B417" s="90" t="s">
        <v>84</v>
      </c>
      <c r="C417" s="83"/>
      <c r="D417" s="83"/>
      <c r="E417" s="83"/>
      <c r="F417" s="83"/>
      <c r="G417" s="83"/>
    </row>
    <row r="418" spans="2:8" ht="15.6">
      <c r="B418" s="83" t="s">
        <v>12</v>
      </c>
      <c r="C418" s="83"/>
      <c r="D418" s="83"/>
      <c r="E418" s="83"/>
      <c r="F418" s="83"/>
      <c r="G418" s="83"/>
    </row>
    <row r="429" spans="2:8" ht="15.6">
      <c r="B429" s="116"/>
      <c r="C429" s="117" t="s">
        <v>14</v>
      </c>
      <c r="D429" s="117"/>
      <c r="E429" s="117"/>
      <c r="F429" s="117" t="s">
        <v>79</v>
      </c>
      <c r="G429" s="117"/>
      <c r="H429" s="117"/>
    </row>
    <row r="430" spans="2:8" ht="15.6">
      <c r="B430" s="116"/>
      <c r="C430" s="117" t="s">
        <v>32</v>
      </c>
      <c r="D430" s="117"/>
      <c r="E430" s="117"/>
      <c r="F430" s="117" t="s">
        <v>80</v>
      </c>
      <c r="G430" s="117"/>
      <c r="H430" s="117"/>
    </row>
    <row r="431" spans="2:8" ht="19.2">
      <c r="B431" s="116" t="s">
        <v>16</v>
      </c>
      <c r="C431" s="238" t="s">
        <v>446</v>
      </c>
      <c r="D431" s="116" t="s">
        <v>33</v>
      </c>
      <c r="E431" s="202">
        <v>2022</v>
      </c>
      <c r="F431" s="117" t="s">
        <v>34</v>
      </c>
      <c r="G431" s="118" t="s">
        <v>78</v>
      </c>
      <c r="H431" s="116"/>
    </row>
    <row r="432" spans="2:8">
      <c r="B432" s="82"/>
      <c r="C432" s="82"/>
      <c r="D432" s="82"/>
      <c r="E432" s="82"/>
      <c r="F432" s="82"/>
      <c r="G432" s="82"/>
      <c r="H432" s="82"/>
    </row>
    <row r="433" spans="2:8">
      <c r="B433" s="126" t="s">
        <v>0</v>
      </c>
      <c r="C433" s="126" t="s">
        <v>35</v>
      </c>
      <c r="D433" s="126" t="s">
        <v>36</v>
      </c>
      <c r="E433" s="126" t="s">
        <v>37</v>
      </c>
      <c r="F433" s="126" t="s">
        <v>38</v>
      </c>
      <c r="G433" s="126" t="s">
        <v>38</v>
      </c>
      <c r="H433" s="126"/>
    </row>
    <row r="434" spans="2:8">
      <c r="B434" s="127"/>
      <c r="C434" s="127"/>
      <c r="D434" s="127"/>
      <c r="E434" s="127" t="s">
        <v>5</v>
      </c>
      <c r="F434" s="127" t="s">
        <v>4</v>
      </c>
      <c r="G434" s="127" t="s">
        <v>10</v>
      </c>
      <c r="H434" s="127"/>
    </row>
    <row r="435" spans="2:8" ht="16.2">
      <c r="B435" s="293">
        <v>44776</v>
      </c>
      <c r="C435" s="294">
        <v>314</v>
      </c>
      <c r="D435" s="294">
        <v>328</v>
      </c>
      <c r="E435" s="27">
        <v>173.75</v>
      </c>
      <c r="F435" s="27"/>
      <c r="G435" s="27">
        <f>E435+F435</f>
        <v>173.75</v>
      </c>
      <c r="H435" s="325" t="s">
        <v>444</v>
      </c>
    </row>
    <row r="436" spans="2:8" ht="16.2">
      <c r="B436" s="293">
        <v>44783</v>
      </c>
      <c r="C436" s="294">
        <v>329</v>
      </c>
      <c r="D436" s="294">
        <v>347</v>
      </c>
      <c r="E436" s="27">
        <v>211</v>
      </c>
      <c r="F436" s="27"/>
      <c r="G436" s="27">
        <f>E436+F436</f>
        <v>211</v>
      </c>
      <c r="H436" s="325" t="s">
        <v>444</v>
      </c>
    </row>
    <row r="437" spans="2:8" ht="16.2">
      <c r="B437" s="293">
        <v>44785</v>
      </c>
      <c r="C437" s="294">
        <v>348</v>
      </c>
      <c r="D437" s="294">
        <v>368</v>
      </c>
      <c r="E437" s="27">
        <v>228.75</v>
      </c>
      <c r="F437" s="27"/>
      <c r="G437" s="27">
        <f t="shared" ref="G437:G466" si="9">E437+F437</f>
        <v>228.75</v>
      </c>
      <c r="H437" s="325" t="s">
        <v>444</v>
      </c>
    </row>
    <row r="438" spans="2:8" ht="16.2">
      <c r="B438" s="293">
        <v>44790</v>
      </c>
      <c r="C438" s="294">
        <v>369</v>
      </c>
      <c r="D438" s="294">
        <v>391</v>
      </c>
      <c r="E438" s="27">
        <v>249</v>
      </c>
      <c r="F438" s="27"/>
      <c r="G438" s="27">
        <f t="shared" si="9"/>
        <v>249</v>
      </c>
      <c r="H438" s="325" t="s">
        <v>444</v>
      </c>
    </row>
    <row r="439" spans="2:8" ht="16.2">
      <c r="B439" s="293">
        <v>44792</v>
      </c>
      <c r="C439" s="294">
        <v>392</v>
      </c>
      <c r="D439" s="294">
        <v>419</v>
      </c>
      <c r="E439" s="27">
        <v>287.25</v>
      </c>
      <c r="F439" s="27"/>
      <c r="G439" s="27">
        <f t="shared" si="9"/>
        <v>287.25</v>
      </c>
      <c r="H439" s="325" t="s">
        <v>444</v>
      </c>
    </row>
    <row r="440" spans="2:8" ht="16.2">
      <c r="B440" s="293">
        <v>44797</v>
      </c>
      <c r="C440" s="294">
        <v>420</v>
      </c>
      <c r="D440" s="294">
        <v>436</v>
      </c>
      <c r="E440" s="27">
        <v>196.75</v>
      </c>
      <c r="F440" s="27"/>
      <c r="G440" s="27">
        <f t="shared" si="9"/>
        <v>196.75</v>
      </c>
      <c r="H440" s="325" t="s">
        <v>444</v>
      </c>
    </row>
    <row r="441" spans="2:8" ht="16.2">
      <c r="B441" s="293">
        <v>44799</v>
      </c>
      <c r="C441" s="294">
        <v>437</v>
      </c>
      <c r="D441" s="294">
        <v>462</v>
      </c>
      <c r="E441" s="27">
        <v>303.5</v>
      </c>
      <c r="F441" s="27"/>
      <c r="G441" s="27">
        <f t="shared" si="9"/>
        <v>303.5</v>
      </c>
      <c r="H441" s="325" t="s">
        <v>444</v>
      </c>
    </row>
    <row r="442" spans="2:8" ht="16.2">
      <c r="B442" s="293">
        <v>44804</v>
      </c>
      <c r="C442" s="294">
        <v>463</v>
      </c>
      <c r="D442" s="294">
        <v>482</v>
      </c>
      <c r="E442" s="27">
        <v>224.5</v>
      </c>
      <c r="F442" s="27"/>
      <c r="G442" s="27">
        <f t="shared" si="9"/>
        <v>224.5</v>
      </c>
      <c r="H442" s="325" t="s">
        <v>444</v>
      </c>
    </row>
    <row r="443" spans="2:8" ht="16.2">
      <c r="B443" s="293">
        <v>44774</v>
      </c>
      <c r="C443" s="294">
        <v>309</v>
      </c>
      <c r="D443" s="294">
        <v>310</v>
      </c>
      <c r="E443" s="27">
        <v>35</v>
      </c>
      <c r="F443" s="27"/>
      <c r="G443" s="27">
        <f t="shared" si="9"/>
        <v>35</v>
      </c>
      <c r="H443" s="32" t="s">
        <v>445</v>
      </c>
    </row>
    <row r="444" spans="2:8" ht="16.2">
      <c r="B444" s="293">
        <v>44775</v>
      </c>
      <c r="C444" s="294">
        <v>311</v>
      </c>
      <c r="D444" s="294">
        <v>312</v>
      </c>
      <c r="E444" s="295">
        <v>34.6</v>
      </c>
      <c r="F444" s="295"/>
      <c r="G444" s="295">
        <f t="shared" si="9"/>
        <v>34.6</v>
      </c>
      <c r="H444" s="32" t="s">
        <v>445</v>
      </c>
    </row>
    <row r="445" spans="2:8" ht="16.2">
      <c r="B445" s="293">
        <v>44776</v>
      </c>
      <c r="C445" s="294">
        <v>313</v>
      </c>
      <c r="D445" s="294">
        <v>314</v>
      </c>
      <c r="E445" s="295">
        <v>28.3</v>
      </c>
      <c r="F445" s="295"/>
      <c r="G445" s="295">
        <f t="shared" si="9"/>
        <v>28.3</v>
      </c>
      <c r="H445" s="32" t="s">
        <v>445</v>
      </c>
    </row>
    <row r="446" spans="2:8" ht="16.2">
      <c r="B446" s="293">
        <v>44778</v>
      </c>
      <c r="C446" s="294">
        <v>315</v>
      </c>
      <c r="D446" s="294">
        <v>317</v>
      </c>
      <c r="E446" s="295">
        <v>18</v>
      </c>
      <c r="F446" s="295"/>
      <c r="G446" s="295">
        <f t="shared" si="9"/>
        <v>18</v>
      </c>
      <c r="H446" s="32" t="s">
        <v>445</v>
      </c>
    </row>
    <row r="447" spans="2:8" ht="16.2">
      <c r="B447" s="293">
        <v>44781</v>
      </c>
      <c r="C447" s="294">
        <v>318</v>
      </c>
      <c r="D447" s="294"/>
      <c r="E447" s="316">
        <v>39.5</v>
      </c>
      <c r="F447" s="295"/>
      <c r="G447" s="295">
        <f t="shared" si="9"/>
        <v>39.5</v>
      </c>
      <c r="H447" s="32" t="s">
        <v>445</v>
      </c>
    </row>
    <row r="448" spans="2:8" ht="16.2">
      <c r="B448" s="293">
        <v>44782</v>
      </c>
      <c r="C448" s="294">
        <v>319</v>
      </c>
      <c r="D448" s="294">
        <v>320</v>
      </c>
      <c r="E448" s="295">
        <v>61</v>
      </c>
      <c r="F448" s="295"/>
      <c r="G448" s="295">
        <f t="shared" si="9"/>
        <v>61</v>
      </c>
      <c r="H448" s="32" t="s">
        <v>445</v>
      </c>
    </row>
    <row r="449" spans="2:8" ht="16.2">
      <c r="B449" s="293">
        <v>44783</v>
      </c>
      <c r="C449" s="294">
        <v>321</v>
      </c>
      <c r="D449" s="294">
        <v>322</v>
      </c>
      <c r="E449" s="295">
        <v>15.5</v>
      </c>
      <c r="F449" s="295"/>
      <c r="G449" s="295">
        <f t="shared" si="9"/>
        <v>15.5</v>
      </c>
      <c r="H449" s="32" t="s">
        <v>445</v>
      </c>
    </row>
    <row r="450" spans="2:8" ht="16.2">
      <c r="B450" s="293">
        <v>44784</v>
      </c>
      <c r="C450" s="294">
        <v>323</v>
      </c>
      <c r="D450" s="294"/>
      <c r="E450" s="295">
        <v>6.25</v>
      </c>
      <c r="F450" s="295"/>
      <c r="G450" s="295">
        <f t="shared" si="9"/>
        <v>6.25</v>
      </c>
      <c r="H450" s="32" t="s">
        <v>445</v>
      </c>
    </row>
    <row r="451" spans="2:8" ht="16.2">
      <c r="B451" s="293">
        <v>44785</v>
      </c>
      <c r="C451" s="294">
        <v>324</v>
      </c>
      <c r="D451" s="294">
        <v>325</v>
      </c>
      <c r="E451" s="295">
        <v>33.75</v>
      </c>
      <c r="F451" s="295"/>
      <c r="G451" s="295">
        <f t="shared" si="9"/>
        <v>33.75</v>
      </c>
      <c r="H451" s="32" t="s">
        <v>445</v>
      </c>
    </row>
    <row r="452" spans="2:8" ht="16.2">
      <c r="B452" s="293">
        <v>44786</v>
      </c>
      <c r="C452" s="294">
        <v>326</v>
      </c>
      <c r="D452" s="294"/>
      <c r="E452" s="295">
        <v>36.1</v>
      </c>
      <c r="F452" s="295"/>
      <c r="G452" s="295">
        <f t="shared" si="9"/>
        <v>36.1</v>
      </c>
      <c r="H452" s="32" t="s">
        <v>445</v>
      </c>
    </row>
    <row r="453" spans="2:8" ht="16.2">
      <c r="B453" s="293">
        <v>44787</v>
      </c>
      <c r="C453" s="294">
        <v>327</v>
      </c>
      <c r="D453" s="294">
        <v>328</v>
      </c>
      <c r="E453" s="295">
        <v>15</v>
      </c>
      <c r="F453" s="295"/>
      <c r="G453" s="295">
        <f t="shared" si="9"/>
        <v>15</v>
      </c>
      <c r="H453" s="32" t="s">
        <v>445</v>
      </c>
    </row>
    <row r="454" spans="2:8" ht="16.2">
      <c r="B454" s="293">
        <v>44788</v>
      </c>
      <c r="C454" s="294">
        <v>329</v>
      </c>
      <c r="D454" s="294">
        <v>330</v>
      </c>
      <c r="E454" s="295">
        <v>31.55</v>
      </c>
      <c r="F454" s="295"/>
      <c r="G454" s="295">
        <f t="shared" si="9"/>
        <v>31.55</v>
      </c>
      <c r="H454" s="32" t="s">
        <v>445</v>
      </c>
    </row>
    <row r="455" spans="2:8" ht="16.2">
      <c r="B455" s="293">
        <v>44789</v>
      </c>
      <c r="C455" s="294">
        <v>331</v>
      </c>
      <c r="D455" s="294">
        <v>332</v>
      </c>
      <c r="E455" s="295">
        <v>31</v>
      </c>
      <c r="F455" s="295"/>
      <c r="G455" s="295">
        <f t="shared" si="9"/>
        <v>31</v>
      </c>
      <c r="H455" s="32" t="s">
        <v>445</v>
      </c>
    </row>
    <row r="456" spans="2:8" ht="16.2">
      <c r="B456" s="293">
        <v>44790</v>
      </c>
      <c r="C456" s="294">
        <v>333</v>
      </c>
      <c r="D456" s="294">
        <v>335</v>
      </c>
      <c r="E456" s="295">
        <v>40.700000000000003</v>
      </c>
      <c r="F456" s="295"/>
      <c r="G456" s="295">
        <f t="shared" si="9"/>
        <v>40.700000000000003</v>
      </c>
      <c r="H456" s="32" t="s">
        <v>445</v>
      </c>
    </row>
    <row r="457" spans="2:8" ht="16.2">
      <c r="B457" s="293">
        <v>44792</v>
      </c>
      <c r="C457" s="294">
        <v>336</v>
      </c>
      <c r="D457" s="294">
        <v>339</v>
      </c>
      <c r="E457" s="295">
        <v>58.25</v>
      </c>
      <c r="F457" s="295"/>
      <c r="G457" s="295">
        <f t="shared" si="9"/>
        <v>58.25</v>
      </c>
      <c r="H457" s="32" t="s">
        <v>445</v>
      </c>
    </row>
    <row r="458" spans="2:8" ht="16.2">
      <c r="B458" s="293">
        <v>44793</v>
      </c>
      <c r="C458" s="294">
        <v>340</v>
      </c>
      <c r="D458" s="294">
        <v>342</v>
      </c>
      <c r="E458" s="295">
        <v>33.450000000000003</v>
      </c>
      <c r="F458" s="295"/>
      <c r="G458" s="295">
        <f t="shared" si="9"/>
        <v>33.450000000000003</v>
      </c>
      <c r="H458" s="32" t="s">
        <v>445</v>
      </c>
    </row>
    <row r="459" spans="2:8" ht="16.2">
      <c r="B459" s="293">
        <v>44795</v>
      </c>
      <c r="C459" s="294">
        <v>343</v>
      </c>
      <c r="D459" s="294">
        <v>345</v>
      </c>
      <c r="E459" s="295">
        <v>21.1</v>
      </c>
      <c r="F459" s="295"/>
      <c r="G459" s="295">
        <f t="shared" si="9"/>
        <v>21.1</v>
      </c>
      <c r="H459" s="32" t="s">
        <v>445</v>
      </c>
    </row>
    <row r="460" spans="2:8" ht="16.2">
      <c r="B460" s="293">
        <v>44796</v>
      </c>
      <c r="C460" s="294">
        <v>346</v>
      </c>
      <c r="D460" s="294">
        <v>348</v>
      </c>
      <c r="E460" s="295">
        <v>74.75</v>
      </c>
      <c r="F460" s="295"/>
      <c r="G460" s="295">
        <f t="shared" si="9"/>
        <v>74.75</v>
      </c>
      <c r="H460" s="32" t="s">
        <v>445</v>
      </c>
    </row>
    <row r="461" spans="2:8" ht="16.2">
      <c r="B461" s="293">
        <v>44797</v>
      </c>
      <c r="C461" s="294">
        <v>349</v>
      </c>
      <c r="D461" s="294">
        <v>350</v>
      </c>
      <c r="E461" s="295">
        <v>34.1</v>
      </c>
      <c r="F461" s="295"/>
      <c r="G461" s="295">
        <f t="shared" si="9"/>
        <v>34.1</v>
      </c>
      <c r="H461" s="32" t="s">
        <v>445</v>
      </c>
    </row>
    <row r="462" spans="2:8" ht="16.2">
      <c r="B462" s="293">
        <v>44799</v>
      </c>
      <c r="C462" s="294">
        <v>351</v>
      </c>
      <c r="D462" s="294">
        <v>353</v>
      </c>
      <c r="E462" s="295">
        <v>41.1</v>
      </c>
      <c r="F462" s="295"/>
      <c r="G462" s="295">
        <f t="shared" si="9"/>
        <v>41.1</v>
      </c>
      <c r="H462" s="32" t="s">
        <v>445</v>
      </c>
    </row>
    <row r="463" spans="2:8" ht="16.2">
      <c r="B463" s="293">
        <v>44800</v>
      </c>
      <c r="C463" s="294">
        <v>354</v>
      </c>
      <c r="D463" s="294">
        <v>355</v>
      </c>
      <c r="E463" s="295">
        <v>71.349999999999994</v>
      </c>
      <c r="F463" s="295"/>
      <c r="G463" s="295">
        <f t="shared" si="9"/>
        <v>71.349999999999994</v>
      </c>
      <c r="H463" s="32" t="s">
        <v>445</v>
      </c>
    </row>
    <row r="464" spans="2:8" ht="16.2">
      <c r="B464" s="293">
        <v>44801</v>
      </c>
      <c r="C464" s="294">
        <v>356</v>
      </c>
      <c r="D464" s="294">
        <v>357</v>
      </c>
      <c r="E464" s="295">
        <v>68.7</v>
      </c>
      <c r="F464" s="295"/>
      <c r="G464" s="295">
        <f t="shared" si="9"/>
        <v>68.7</v>
      </c>
      <c r="H464" s="32" t="s">
        <v>445</v>
      </c>
    </row>
    <row r="465" spans="2:8" ht="16.2">
      <c r="B465" s="293">
        <v>44802</v>
      </c>
      <c r="C465" s="294">
        <v>358</v>
      </c>
      <c r="D465" s="294">
        <v>359</v>
      </c>
      <c r="E465" s="295">
        <v>22.25</v>
      </c>
      <c r="F465" s="295"/>
      <c r="G465" s="295">
        <f t="shared" si="9"/>
        <v>22.25</v>
      </c>
      <c r="H465" s="32" t="s">
        <v>445</v>
      </c>
    </row>
    <row r="466" spans="2:8" ht="16.2">
      <c r="B466" s="293">
        <v>44803</v>
      </c>
      <c r="C466" s="294">
        <v>360</v>
      </c>
      <c r="D466" s="294">
        <v>362</v>
      </c>
      <c r="E466" s="295">
        <v>38.25</v>
      </c>
      <c r="F466" s="295"/>
      <c r="G466" s="295">
        <f t="shared" si="9"/>
        <v>38.25</v>
      </c>
      <c r="H466" s="32" t="s">
        <v>445</v>
      </c>
    </row>
    <row r="467" spans="2:8" ht="16.2">
      <c r="B467" s="222"/>
      <c r="C467" s="200"/>
      <c r="D467" s="200"/>
      <c r="E467" s="27"/>
      <c r="F467" s="27"/>
      <c r="G467" s="27"/>
      <c r="H467" s="1"/>
    </row>
    <row r="468" spans="2:8" ht="13.8">
      <c r="B468" s="119"/>
      <c r="C468" s="120" t="s">
        <v>10</v>
      </c>
      <c r="D468" s="121"/>
      <c r="E468" s="159">
        <f>SUM(E435:E467)</f>
        <v>2764.0499999999988</v>
      </c>
      <c r="F468" s="159">
        <f>SUM(F436:F440)</f>
        <v>0</v>
      </c>
      <c r="G468" s="159">
        <f>SUM(G435:G467)</f>
        <v>2764.0499999999988</v>
      </c>
      <c r="H468" s="122"/>
    </row>
    <row r="469" spans="2:8">
      <c r="G469" s="28"/>
    </row>
    <row r="470" spans="2:8" ht="17.399999999999999">
      <c r="B470" s="83"/>
      <c r="C470" s="90" t="s">
        <v>39</v>
      </c>
      <c r="D470" s="90"/>
      <c r="E470" s="90"/>
      <c r="F470" s="90"/>
      <c r="G470" s="153">
        <f>+E468/1.13</f>
        <v>2446.0619469026542</v>
      </c>
    </row>
    <row r="471" spans="2:8" ht="18" thickBot="1">
      <c r="B471" s="83"/>
      <c r="C471" s="92" t="s">
        <v>40</v>
      </c>
      <c r="D471" s="90" t="s">
        <v>41</v>
      </c>
      <c r="E471" s="90"/>
      <c r="F471" s="90"/>
      <c r="G471" s="154">
        <f>+G470*0.13</f>
        <v>317.98805309734507</v>
      </c>
      <c r="H471" s="29"/>
    </row>
    <row r="472" spans="2:8" ht="18" thickTop="1">
      <c r="B472" s="83"/>
      <c r="C472" s="90"/>
      <c r="D472" s="90" t="s">
        <v>6</v>
      </c>
      <c r="E472" s="90"/>
      <c r="F472" s="90"/>
      <c r="G472" s="153">
        <f>SUM(G470:G471)</f>
        <v>2764.0499999999993</v>
      </c>
    </row>
    <row r="473" spans="2:8" ht="15.6">
      <c r="B473" s="83"/>
      <c r="C473" s="83"/>
      <c r="E473" s="83"/>
      <c r="F473" s="83"/>
      <c r="G473" s="83"/>
      <c r="H473" s="29"/>
    </row>
    <row r="474" spans="2:8" ht="16.2" thickBot="1">
      <c r="B474" s="91" t="s">
        <v>11</v>
      </c>
      <c r="C474" s="91"/>
      <c r="D474" s="83"/>
      <c r="E474" s="83"/>
      <c r="F474" s="83"/>
      <c r="G474" s="104"/>
    </row>
    <row r="475" spans="2:8" ht="17.399999999999999">
      <c r="B475" s="90" t="s">
        <v>84</v>
      </c>
      <c r="C475" s="83"/>
      <c r="D475" s="83"/>
      <c r="E475" s="83"/>
      <c r="F475" s="83"/>
      <c r="G475" s="83"/>
    </row>
    <row r="476" spans="2:8" ht="15.6">
      <c r="B476" s="83" t="s">
        <v>12</v>
      </c>
      <c r="C476" s="83"/>
      <c r="D476" s="83"/>
      <c r="E476" s="83"/>
      <c r="F476" s="83"/>
      <c r="G476" s="83"/>
    </row>
    <row r="490" spans="2:8" ht="15.6">
      <c r="B490" s="116"/>
      <c r="C490" s="117" t="s">
        <v>14</v>
      </c>
      <c r="D490" s="117"/>
      <c r="E490" s="117"/>
      <c r="F490" s="117" t="s">
        <v>79</v>
      </c>
      <c r="G490" s="117"/>
      <c r="H490" s="117"/>
    </row>
    <row r="491" spans="2:8" ht="15.6">
      <c r="B491" s="116"/>
      <c r="C491" s="117" t="s">
        <v>32</v>
      </c>
      <c r="D491" s="117"/>
      <c r="E491" s="117"/>
      <c r="F491" s="117" t="s">
        <v>80</v>
      </c>
      <c r="G491" s="117"/>
      <c r="H491" s="117"/>
    </row>
    <row r="492" spans="2:8" ht="19.2">
      <c r="B492" s="116" t="s">
        <v>16</v>
      </c>
      <c r="C492" s="238" t="s">
        <v>481</v>
      </c>
      <c r="D492" s="116" t="s">
        <v>33</v>
      </c>
      <c r="E492" s="202">
        <v>2022</v>
      </c>
      <c r="F492" s="117" t="s">
        <v>34</v>
      </c>
      <c r="G492" s="118" t="s">
        <v>78</v>
      </c>
      <c r="H492" s="116"/>
    </row>
    <row r="493" spans="2:8">
      <c r="B493" s="82"/>
      <c r="C493" s="82"/>
      <c r="D493" s="82"/>
      <c r="E493" s="82"/>
      <c r="F493" s="82"/>
      <c r="G493" s="82"/>
      <c r="H493" s="82"/>
    </row>
    <row r="494" spans="2:8">
      <c r="B494" s="126" t="s">
        <v>0</v>
      </c>
      <c r="C494" s="126" t="s">
        <v>35</v>
      </c>
      <c r="D494" s="126" t="s">
        <v>36</v>
      </c>
      <c r="E494" s="126" t="s">
        <v>37</v>
      </c>
      <c r="F494" s="126" t="s">
        <v>38</v>
      </c>
      <c r="G494" s="126" t="s">
        <v>38</v>
      </c>
      <c r="H494" s="126"/>
    </row>
    <row r="495" spans="2:8">
      <c r="B495" s="127"/>
      <c r="C495" s="127"/>
      <c r="D495" s="127"/>
      <c r="E495" s="127" t="s">
        <v>5</v>
      </c>
      <c r="F495" s="127" t="s">
        <v>4</v>
      </c>
      <c r="G495" s="127" t="s">
        <v>10</v>
      </c>
      <c r="H495" s="127"/>
    </row>
    <row r="496" spans="2:8" ht="16.2">
      <c r="B496" s="348">
        <v>44806</v>
      </c>
      <c r="C496" s="349">
        <v>483</v>
      </c>
      <c r="D496" s="349">
        <v>509</v>
      </c>
      <c r="E496" s="350">
        <v>306.75</v>
      </c>
      <c r="F496" s="350"/>
      <c r="G496" s="350">
        <f>E496+F496</f>
        <v>306.75</v>
      </c>
      <c r="H496" s="325" t="s">
        <v>444</v>
      </c>
    </row>
    <row r="497" spans="2:8" ht="16.2">
      <c r="B497" s="348">
        <v>44811</v>
      </c>
      <c r="C497" s="349">
        <v>510</v>
      </c>
      <c r="D497" s="349">
        <v>528</v>
      </c>
      <c r="E497" s="350">
        <v>208.25</v>
      </c>
      <c r="F497" s="350"/>
      <c r="G497" s="350">
        <f>E497+F497</f>
        <v>208.25</v>
      </c>
      <c r="H497" s="325" t="s">
        <v>444</v>
      </c>
    </row>
    <row r="498" spans="2:8" ht="16.2">
      <c r="B498" s="348">
        <v>44813</v>
      </c>
      <c r="C498" s="349">
        <v>529</v>
      </c>
      <c r="D498" s="349">
        <v>557</v>
      </c>
      <c r="E498" s="350">
        <v>295.25</v>
      </c>
      <c r="F498" s="350"/>
      <c r="G498" s="350">
        <f t="shared" ref="G498:G527" si="10">E498+F498</f>
        <v>295.25</v>
      </c>
      <c r="H498" s="325" t="s">
        <v>444</v>
      </c>
    </row>
    <row r="499" spans="2:8" ht="16.2">
      <c r="B499" s="348">
        <v>44818</v>
      </c>
      <c r="C499" s="349">
        <v>558</v>
      </c>
      <c r="D499" s="349">
        <v>577</v>
      </c>
      <c r="E499" s="350">
        <v>211.25</v>
      </c>
      <c r="F499" s="350"/>
      <c r="G499" s="350">
        <f t="shared" si="10"/>
        <v>211.25</v>
      </c>
      <c r="H499" s="325" t="s">
        <v>444</v>
      </c>
    </row>
    <row r="500" spans="2:8" ht="16.2">
      <c r="B500" s="348">
        <v>44820</v>
      </c>
      <c r="C500" s="349">
        <v>578</v>
      </c>
      <c r="D500" s="349">
        <v>603</v>
      </c>
      <c r="E500" s="350">
        <v>278.5</v>
      </c>
      <c r="F500" s="350"/>
      <c r="G500" s="350">
        <f t="shared" si="10"/>
        <v>278.5</v>
      </c>
      <c r="H500" s="325" t="s">
        <v>444</v>
      </c>
    </row>
    <row r="501" spans="2:8" ht="16.2">
      <c r="B501" s="348">
        <v>44825</v>
      </c>
      <c r="C501" s="349">
        <v>604</v>
      </c>
      <c r="D501" s="349">
        <v>621</v>
      </c>
      <c r="E501" s="350">
        <v>206.25</v>
      </c>
      <c r="F501" s="350"/>
      <c r="G501" s="350">
        <f t="shared" si="10"/>
        <v>206.25</v>
      </c>
      <c r="H501" s="325" t="s">
        <v>444</v>
      </c>
    </row>
    <row r="502" spans="2:8" ht="16.2">
      <c r="B502" s="348">
        <v>44827</v>
      </c>
      <c r="C502" s="349">
        <v>622</v>
      </c>
      <c r="D502" s="349">
        <v>645</v>
      </c>
      <c r="E502" s="350">
        <v>291</v>
      </c>
      <c r="F502" s="350"/>
      <c r="G502" s="350">
        <f t="shared" si="10"/>
        <v>291</v>
      </c>
      <c r="H502" s="325" t="s">
        <v>444</v>
      </c>
    </row>
    <row r="503" spans="2:8" ht="16.2">
      <c r="B503" s="348">
        <v>44832</v>
      </c>
      <c r="C503" s="349">
        <v>646</v>
      </c>
      <c r="D503" s="349">
        <v>691</v>
      </c>
      <c r="E503" s="350">
        <v>516</v>
      </c>
      <c r="F503" s="350"/>
      <c r="G503" s="350">
        <f t="shared" si="10"/>
        <v>516</v>
      </c>
      <c r="H503" s="325" t="s">
        <v>444</v>
      </c>
    </row>
    <row r="504" spans="2:8" ht="16.2">
      <c r="B504" s="293">
        <v>44805</v>
      </c>
      <c r="C504" s="294">
        <v>363</v>
      </c>
      <c r="D504" s="294">
        <v>364</v>
      </c>
      <c r="E504" s="27">
        <v>74.5</v>
      </c>
      <c r="F504" s="27"/>
      <c r="G504" s="27">
        <f t="shared" si="10"/>
        <v>74.5</v>
      </c>
      <c r="H504" s="32" t="s">
        <v>445</v>
      </c>
    </row>
    <row r="505" spans="2:8" ht="16.2">
      <c r="B505" s="293">
        <v>44806</v>
      </c>
      <c r="C505" s="294">
        <v>365</v>
      </c>
      <c r="D505" s="294">
        <v>366</v>
      </c>
      <c r="E505" s="295">
        <v>18.05</v>
      </c>
      <c r="F505" s="295"/>
      <c r="G505" s="295">
        <f t="shared" si="10"/>
        <v>18.05</v>
      </c>
      <c r="H505" s="32" t="s">
        <v>445</v>
      </c>
    </row>
    <row r="506" spans="2:8" ht="16.2">
      <c r="B506" s="293">
        <v>44807</v>
      </c>
      <c r="C506" s="294">
        <v>367</v>
      </c>
      <c r="D506" s="294">
        <v>368</v>
      </c>
      <c r="E506" s="295">
        <v>30</v>
      </c>
      <c r="F506" s="295"/>
      <c r="G506" s="295">
        <f t="shared" si="10"/>
        <v>30</v>
      </c>
      <c r="H506" s="32" t="s">
        <v>445</v>
      </c>
    </row>
    <row r="507" spans="2:8" ht="16.2">
      <c r="B507" s="293">
        <v>44808</v>
      </c>
      <c r="C507" s="294">
        <v>369</v>
      </c>
      <c r="D507" s="294">
        <v>371</v>
      </c>
      <c r="E507" s="295">
        <v>40.15</v>
      </c>
      <c r="F507" s="295"/>
      <c r="G507" s="295">
        <f t="shared" si="10"/>
        <v>40.15</v>
      </c>
      <c r="H507" s="32" t="s">
        <v>445</v>
      </c>
    </row>
    <row r="508" spans="2:8" ht="16.2">
      <c r="B508" s="293">
        <v>44809</v>
      </c>
      <c r="C508" s="294">
        <v>372</v>
      </c>
      <c r="D508" s="294">
        <v>373</v>
      </c>
      <c r="E508" s="316">
        <v>58.75</v>
      </c>
      <c r="F508" s="295"/>
      <c r="G508" s="295">
        <f t="shared" si="10"/>
        <v>58.75</v>
      </c>
      <c r="H508" s="32" t="s">
        <v>445</v>
      </c>
    </row>
    <row r="509" spans="2:8" ht="16.2">
      <c r="B509" s="293">
        <v>44810</v>
      </c>
      <c r="C509" s="294">
        <v>374</v>
      </c>
      <c r="D509" s="294">
        <v>375</v>
      </c>
      <c r="E509" s="295">
        <v>25.75</v>
      </c>
      <c r="F509" s="295"/>
      <c r="G509" s="295">
        <f t="shared" si="10"/>
        <v>25.75</v>
      </c>
      <c r="H509" s="32" t="s">
        <v>445</v>
      </c>
    </row>
    <row r="510" spans="2:8" ht="16.2">
      <c r="B510" s="293">
        <v>44812</v>
      </c>
      <c r="C510" s="294">
        <v>376</v>
      </c>
      <c r="D510" s="294">
        <v>378</v>
      </c>
      <c r="E510" s="295">
        <v>31.05</v>
      </c>
      <c r="F510" s="295"/>
      <c r="G510" s="295">
        <f t="shared" si="10"/>
        <v>31.05</v>
      </c>
      <c r="H510" s="32" t="s">
        <v>445</v>
      </c>
    </row>
    <row r="511" spans="2:8" ht="16.2">
      <c r="B511" s="293">
        <v>44813</v>
      </c>
      <c r="C511" s="294">
        <v>379</v>
      </c>
      <c r="D511" s="294">
        <v>380</v>
      </c>
      <c r="E511" s="295">
        <v>27.35</v>
      </c>
      <c r="F511" s="295"/>
      <c r="G511" s="295">
        <f t="shared" si="10"/>
        <v>27.35</v>
      </c>
      <c r="H511" s="32" t="s">
        <v>445</v>
      </c>
    </row>
    <row r="512" spans="2:8" ht="16.2">
      <c r="B512" s="293">
        <v>44814</v>
      </c>
      <c r="C512" s="294">
        <v>381</v>
      </c>
      <c r="D512" s="294">
        <v>382</v>
      </c>
      <c r="E512" s="295">
        <v>69.75</v>
      </c>
      <c r="F512" s="295"/>
      <c r="G512" s="295">
        <f t="shared" si="10"/>
        <v>69.75</v>
      </c>
      <c r="H512" s="32" t="s">
        <v>445</v>
      </c>
    </row>
    <row r="513" spans="2:8" ht="16.2">
      <c r="B513" s="293">
        <v>44815</v>
      </c>
      <c r="C513" s="294">
        <v>383</v>
      </c>
      <c r="D513" s="294">
        <v>384</v>
      </c>
      <c r="E513" s="295">
        <v>5.9</v>
      </c>
      <c r="F513" s="295"/>
      <c r="G513" s="295">
        <f t="shared" si="10"/>
        <v>5.9</v>
      </c>
      <c r="H513" s="32" t="s">
        <v>445</v>
      </c>
    </row>
    <row r="514" spans="2:8" ht="16.2">
      <c r="B514" s="293">
        <v>44816</v>
      </c>
      <c r="C514" s="294">
        <v>385</v>
      </c>
      <c r="D514" s="294">
        <v>386</v>
      </c>
      <c r="E514" s="295">
        <v>16.25</v>
      </c>
      <c r="F514" s="295"/>
      <c r="G514" s="295">
        <f t="shared" si="10"/>
        <v>16.25</v>
      </c>
      <c r="H514" s="32" t="s">
        <v>445</v>
      </c>
    </row>
    <row r="515" spans="2:8" ht="16.2">
      <c r="B515" s="293">
        <v>44817</v>
      </c>
      <c r="C515" s="294">
        <v>387</v>
      </c>
      <c r="D515" s="294">
        <v>389</v>
      </c>
      <c r="E515" s="295">
        <v>24.6</v>
      </c>
      <c r="F515" s="295"/>
      <c r="G515" s="295">
        <f t="shared" si="10"/>
        <v>24.6</v>
      </c>
      <c r="H515" s="32" t="s">
        <v>445</v>
      </c>
    </row>
    <row r="516" spans="2:8" ht="16.2">
      <c r="B516" s="293">
        <v>44819</v>
      </c>
      <c r="C516" s="294">
        <v>390</v>
      </c>
      <c r="D516" s="294">
        <v>392</v>
      </c>
      <c r="E516" s="295">
        <v>28.9</v>
      </c>
      <c r="F516" s="295"/>
      <c r="G516" s="295">
        <f t="shared" si="10"/>
        <v>28.9</v>
      </c>
      <c r="H516" s="32" t="s">
        <v>445</v>
      </c>
    </row>
    <row r="517" spans="2:8" ht="16.2">
      <c r="B517" s="293">
        <v>44820</v>
      </c>
      <c r="C517" s="294">
        <v>393</v>
      </c>
      <c r="D517" s="294">
        <v>394</v>
      </c>
      <c r="E517" s="295">
        <v>52.8</v>
      </c>
      <c r="F517" s="295"/>
      <c r="G517" s="295">
        <f t="shared" si="10"/>
        <v>52.8</v>
      </c>
      <c r="H517" s="32" t="s">
        <v>445</v>
      </c>
    </row>
    <row r="518" spans="2:8" ht="16.2">
      <c r="B518" s="293">
        <v>44821</v>
      </c>
      <c r="C518" s="294">
        <v>395</v>
      </c>
      <c r="D518" s="294">
        <v>397</v>
      </c>
      <c r="E518" s="295">
        <v>54.25</v>
      </c>
      <c r="F518" s="295"/>
      <c r="G518" s="295">
        <f t="shared" si="10"/>
        <v>54.25</v>
      </c>
      <c r="H518" s="32" t="s">
        <v>445</v>
      </c>
    </row>
    <row r="519" spans="2:8" ht="16.2">
      <c r="B519" s="293">
        <v>44823</v>
      </c>
      <c r="C519" s="294">
        <v>398</v>
      </c>
      <c r="D519" s="294">
        <v>400</v>
      </c>
      <c r="E519" s="295">
        <v>39.35</v>
      </c>
      <c r="F519" s="295"/>
      <c r="G519" s="295">
        <f t="shared" si="10"/>
        <v>39.35</v>
      </c>
      <c r="H519" s="32" t="s">
        <v>445</v>
      </c>
    </row>
    <row r="520" spans="2:8" ht="16.2">
      <c r="B520" s="293">
        <v>44824</v>
      </c>
      <c r="C520" s="294">
        <v>401</v>
      </c>
      <c r="D520" s="294">
        <v>403</v>
      </c>
      <c r="E520" s="295">
        <v>42.1</v>
      </c>
      <c r="F520" s="295"/>
      <c r="G520" s="295">
        <f t="shared" si="10"/>
        <v>42.1</v>
      </c>
      <c r="H520" s="32" t="s">
        <v>445</v>
      </c>
    </row>
    <row r="521" spans="2:8" ht="16.2">
      <c r="B521" s="293">
        <v>44826</v>
      </c>
      <c r="C521" s="294">
        <v>404</v>
      </c>
      <c r="D521" s="294">
        <v>406</v>
      </c>
      <c r="E521" s="295">
        <v>62.85</v>
      </c>
      <c r="F521" s="295"/>
      <c r="G521" s="295">
        <f t="shared" si="10"/>
        <v>62.85</v>
      </c>
      <c r="H521" s="32" t="s">
        <v>445</v>
      </c>
    </row>
    <row r="522" spans="2:8" ht="16.2">
      <c r="B522" s="293">
        <v>44828</v>
      </c>
      <c r="C522" s="294">
        <v>407</v>
      </c>
      <c r="D522" s="294">
        <v>412</v>
      </c>
      <c r="E522" s="295">
        <v>166</v>
      </c>
      <c r="F522" s="295"/>
      <c r="G522" s="295">
        <f t="shared" si="10"/>
        <v>166</v>
      </c>
      <c r="H522" s="32" t="s">
        <v>445</v>
      </c>
    </row>
    <row r="523" spans="2:8" ht="16.2">
      <c r="B523" s="293">
        <v>44829</v>
      </c>
      <c r="C523" s="294">
        <v>413</v>
      </c>
      <c r="D523" s="294">
        <v>416</v>
      </c>
      <c r="E523" s="295">
        <v>48.9</v>
      </c>
      <c r="F523" s="295"/>
      <c r="G523" s="295">
        <f t="shared" si="10"/>
        <v>48.9</v>
      </c>
      <c r="H523" s="32" t="s">
        <v>445</v>
      </c>
    </row>
    <row r="524" spans="2:8" ht="16.2">
      <c r="B524" s="293">
        <v>44832</v>
      </c>
      <c r="C524" s="294">
        <v>417</v>
      </c>
      <c r="D524" s="294">
        <v>421</v>
      </c>
      <c r="E524" s="295">
        <v>112.35</v>
      </c>
      <c r="F524" s="295"/>
      <c r="G524" s="295">
        <f t="shared" si="10"/>
        <v>112.35</v>
      </c>
      <c r="H524" s="32" t="s">
        <v>445</v>
      </c>
    </row>
    <row r="525" spans="2:8" ht="16.2">
      <c r="B525" s="293">
        <v>44833</v>
      </c>
      <c r="C525" s="294">
        <v>422</v>
      </c>
      <c r="D525" s="294">
        <v>424</v>
      </c>
      <c r="E525" s="295">
        <v>99.25</v>
      </c>
      <c r="F525" s="295"/>
      <c r="G525" s="295">
        <f t="shared" si="10"/>
        <v>99.25</v>
      </c>
      <c r="H525" s="32" t="s">
        <v>445</v>
      </c>
    </row>
    <row r="526" spans="2:8" ht="16.2">
      <c r="B526" s="293">
        <v>44834</v>
      </c>
      <c r="C526" s="294">
        <v>425</v>
      </c>
      <c r="D526" s="294">
        <v>426</v>
      </c>
      <c r="E526" s="295">
        <v>20.350000000000001</v>
      </c>
      <c r="F526" s="295"/>
      <c r="G526" s="295">
        <f t="shared" si="10"/>
        <v>20.350000000000001</v>
      </c>
      <c r="H526" s="32" t="s">
        <v>445</v>
      </c>
    </row>
    <row r="527" spans="2:8" ht="16.2">
      <c r="B527" s="293"/>
      <c r="C527" s="294"/>
      <c r="D527" s="294"/>
      <c r="E527" s="295"/>
      <c r="F527" s="295"/>
      <c r="G527" s="295">
        <f t="shared" si="10"/>
        <v>0</v>
      </c>
      <c r="H527" s="32" t="s">
        <v>445</v>
      </c>
    </row>
    <row r="528" spans="2:8" ht="16.2">
      <c r="B528" s="222"/>
      <c r="C528" s="200"/>
      <c r="D528" s="200"/>
      <c r="E528" s="27"/>
      <c r="F528" s="27"/>
      <c r="G528" s="27"/>
      <c r="H528" s="1"/>
    </row>
    <row r="529" spans="2:8" ht="13.8">
      <c r="B529" s="119"/>
      <c r="C529" s="120" t="s">
        <v>10</v>
      </c>
      <c r="D529" s="121"/>
      <c r="E529" s="159">
        <f>SUM(E496:E528)</f>
        <v>3462.4500000000003</v>
      </c>
      <c r="F529" s="159">
        <f>SUM(F497:F501)</f>
        <v>0</v>
      </c>
      <c r="G529" s="159">
        <f>SUM(G496:G528)</f>
        <v>3462.4500000000003</v>
      </c>
      <c r="H529" s="122"/>
    </row>
    <row r="530" spans="2:8">
      <c r="G530" s="28"/>
    </row>
    <row r="531" spans="2:8" ht="17.399999999999999">
      <c r="B531" s="83"/>
      <c r="C531" s="90" t="s">
        <v>39</v>
      </c>
      <c r="D531" s="90"/>
      <c r="E531" s="90"/>
      <c r="F531" s="90"/>
      <c r="G531" s="153">
        <f>+E529/1.13</f>
        <v>3064.1150442477883</v>
      </c>
    </row>
    <row r="532" spans="2:8" ht="18" thickBot="1">
      <c r="B532" s="83"/>
      <c r="C532" s="92" t="s">
        <v>40</v>
      </c>
      <c r="D532" s="90" t="s">
        <v>41</v>
      </c>
      <c r="E532" s="90"/>
      <c r="F532" s="90"/>
      <c r="G532" s="154">
        <f>+G531*0.13</f>
        <v>398.33495575221252</v>
      </c>
      <c r="H532" s="29"/>
    </row>
    <row r="533" spans="2:8" ht="18" thickTop="1">
      <c r="B533" s="83"/>
      <c r="C533" s="90"/>
      <c r="D533" s="90" t="s">
        <v>6</v>
      </c>
      <c r="E533" s="90"/>
      <c r="F533" s="90"/>
      <c r="G533" s="153">
        <f>SUM(G531:G532)</f>
        <v>3462.4500000000007</v>
      </c>
    </row>
    <row r="534" spans="2:8" ht="15.6">
      <c r="B534" s="83"/>
      <c r="C534" s="83"/>
      <c r="E534" s="83"/>
      <c r="F534" s="83"/>
      <c r="G534" s="83"/>
      <c r="H534" s="29"/>
    </row>
    <row r="535" spans="2:8" ht="16.2" thickBot="1">
      <c r="B535" s="91" t="s">
        <v>11</v>
      </c>
      <c r="C535" s="91"/>
      <c r="D535" s="83"/>
      <c r="E535" s="83"/>
      <c r="F535" s="83"/>
      <c r="G535" s="104"/>
    </row>
    <row r="536" spans="2:8" ht="17.399999999999999">
      <c r="B536" s="90" t="s">
        <v>84</v>
      </c>
      <c r="C536" s="83"/>
      <c r="D536" s="83"/>
      <c r="E536" s="83"/>
      <c r="F536" s="83"/>
      <c r="G536" s="83"/>
    </row>
    <row r="537" spans="2:8" ht="15.6">
      <c r="B537" s="83" t="s">
        <v>12</v>
      </c>
      <c r="C537" s="83"/>
      <c r="D537" s="83"/>
      <c r="E537" s="83"/>
      <c r="F537" s="83"/>
      <c r="G537" s="83"/>
    </row>
    <row r="547" spans="2:8" ht="15.6">
      <c r="B547" s="116"/>
      <c r="C547" s="117" t="s">
        <v>14</v>
      </c>
      <c r="D547" s="117"/>
      <c r="E547" s="117"/>
      <c r="F547" s="117" t="s">
        <v>79</v>
      </c>
      <c r="G547" s="117"/>
      <c r="H547" s="117"/>
    </row>
    <row r="548" spans="2:8" ht="15.6">
      <c r="B548" s="116"/>
      <c r="C548" s="117" t="s">
        <v>32</v>
      </c>
      <c r="D548" s="117"/>
      <c r="E548" s="117"/>
      <c r="F548" s="117" t="s">
        <v>80</v>
      </c>
      <c r="G548" s="117"/>
      <c r="H548" s="117"/>
    </row>
    <row r="549" spans="2:8" ht="19.2">
      <c r="B549" s="116" t="s">
        <v>16</v>
      </c>
      <c r="C549" s="356" t="s">
        <v>529</v>
      </c>
      <c r="D549" s="116" t="s">
        <v>33</v>
      </c>
      <c r="E549" s="202">
        <v>2022</v>
      </c>
      <c r="F549" s="117" t="s">
        <v>34</v>
      </c>
      <c r="G549" s="118" t="s">
        <v>78</v>
      </c>
      <c r="H549" s="116"/>
    </row>
    <row r="550" spans="2:8">
      <c r="B550" s="82"/>
      <c r="C550" s="82"/>
      <c r="D550" s="82"/>
      <c r="E550" s="82"/>
      <c r="F550" s="82"/>
      <c r="G550" s="82"/>
      <c r="H550" s="82"/>
    </row>
    <row r="551" spans="2:8">
      <c r="B551" s="126" t="s">
        <v>0</v>
      </c>
      <c r="C551" s="126" t="s">
        <v>35</v>
      </c>
      <c r="D551" s="126" t="s">
        <v>36</v>
      </c>
      <c r="E551" s="126" t="s">
        <v>37</v>
      </c>
      <c r="F551" s="126" t="s">
        <v>38</v>
      </c>
      <c r="G551" s="126" t="s">
        <v>38</v>
      </c>
      <c r="H551" s="126"/>
    </row>
    <row r="552" spans="2:8">
      <c r="B552" s="127"/>
      <c r="C552" s="127"/>
      <c r="D552" s="127"/>
      <c r="E552" s="127" t="s">
        <v>5</v>
      </c>
      <c r="F552" s="127" t="s">
        <v>4</v>
      </c>
      <c r="G552" s="127" t="s">
        <v>10</v>
      </c>
      <c r="H552" s="127"/>
    </row>
    <row r="553" spans="2:8" ht="16.2">
      <c r="B553" s="352">
        <v>44839</v>
      </c>
      <c r="C553" s="357">
        <v>692</v>
      </c>
      <c r="D553" s="357">
        <v>711</v>
      </c>
      <c r="E553" s="353">
        <v>226</v>
      </c>
      <c r="F553" s="353"/>
      <c r="G553" s="353">
        <f>E553+F553</f>
        <v>226</v>
      </c>
      <c r="H553" s="354" t="s">
        <v>444</v>
      </c>
    </row>
    <row r="554" spans="2:8" ht="16.2">
      <c r="B554" s="352">
        <v>44841</v>
      </c>
      <c r="C554" s="358">
        <v>712</v>
      </c>
      <c r="D554" s="358">
        <v>730</v>
      </c>
      <c r="E554" s="353">
        <v>208.75</v>
      </c>
      <c r="F554" s="353"/>
      <c r="G554" s="353">
        <f>E554+F554</f>
        <v>208.75</v>
      </c>
      <c r="H554" s="354" t="s">
        <v>444</v>
      </c>
    </row>
    <row r="555" spans="2:8" ht="16.2">
      <c r="B555" s="352">
        <v>44846</v>
      </c>
      <c r="C555" s="357">
        <v>731</v>
      </c>
      <c r="D555" s="357">
        <v>751</v>
      </c>
      <c r="E555" s="353">
        <v>231.5</v>
      </c>
      <c r="F555" s="353"/>
      <c r="G555" s="353">
        <f t="shared" ref="G555:G583" si="11">E555+F555</f>
        <v>231.5</v>
      </c>
      <c r="H555" s="354" t="s">
        <v>444</v>
      </c>
    </row>
    <row r="556" spans="2:8" ht="16.2">
      <c r="B556" s="352">
        <v>44848</v>
      </c>
      <c r="C556" s="358">
        <v>752</v>
      </c>
      <c r="D556" s="358">
        <v>793</v>
      </c>
      <c r="E556" s="353">
        <v>440</v>
      </c>
      <c r="F556" s="353"/>
      <c r="G556" s="353">
        <f t="shared" si="11"/>
        <v>440</v>
      </c>
      <c r="H556" s="354" t="s">
        <v>444</v>
      </c>
    </row>
    <row r="557" spans="2:8" ht="16.2">
      <c r="B557" s="352">
        <v>44855</v>
      </c>
      <c r="C557" s="357">
        <v>794</v>
      </c>
      <c r="D557" s="357">
        <v>815</v>
      </c>
      <c r="E557" s="353">
        <v>243.25</v>
      </c>
      <c r="F557" s="353"/>
      <c r="G557" s="353">
        <f t="shared" si="11"/>
        <v>243.25</v>
      </c>
      <c r="H557" s="354" t="s">
        <v>444</v>
      </c>
    </row>
    <row r="558" spans="2:8" ht="16.2">
      <c r="B558" s="352">
        <v>44860</v>
      </c>
      <c r="C558" s="358">
        <v>816</v>
      </c>
      <c r="D558" s="358">
        <v>836</v>
      </c>
      <c r="E558" s="353">
        <v>239.25</v>
      </c>
      <c r="F558" s="353"/>
      <c r="G558" s="353">
        <f t="shared" si="11"/>
        <v>239.25</v>
      </c>
      <c r="H558" s="354" t="s">
        <v>444</v>
      </c>
    </row>
    <row r="559" spans="2:8" ht="16.2">
      <c r="B559" s="352">
        <v>44862</v>
      </c>
      <c r="C559" s="359">
        <v>837</v>
      </c>
      <c r="D559" s="359">
        <v>862</v>
      </c>
      <c r="E559" s="353">
        <v>288.5</v>
      </c>
      <c r="F559" s="353"/>
      <c r="G559" s="353">
        <f t="shared" si="11"/>
        <v>288.5</v>
      </c>
      <c r="H559" s="354" t="s">
        <v>444</v>
      </c>
    </row>
    <row r="560" spans="2:8" ht="16.2">
      <c r="B560" s="293">
        <v>44835</v>
      </c>
      <c r="C560" s="358">
        <v>427</v>
      </c>
      <c r="D560" s="358">
        <v>428</v>
      </c>
      <c r="E560" s="295">
        <v>53.75</v>
      </c>
      <c r="F560" s="295"/>
      <c r="G560" s="27">
        <f t="shared" si="11"/>
        <v>53.75</v>
      </c>
      <c r="H560" s="32" t="s">
        <v>445</v>
      </c>
    </row>
    <row r="561" spans="2:8" ht="16.2">
      <c r="B561" s="293">
        <v>44836</v>
      </c>
      <c r="C561" s="357">
        <v>429</v>
      </c>
      <c r="D561" s="357">
        <v>430</v>
      </c>
      <c r="E561" s="295">
        <v>19.899999999999999</v>
      </c>
      <c r="F561" s="295"/>
      <c r="G561" s="295">
        <f t="shared" si="11"/>
        <v>19.899999999999999</v>
      </c>
      <c r="H561" s="32" t="s">
        <v>445</v>
      </c>
    </row>
    <row r="562" spans="2:8" ht="16.2">
      <c r="B562" s="293">
        <v>44837</v>
      </c>
      <c r="C562" s="358">
        <v>431</v>
      </c>
      <c r="D562" s="358">
        <v>432</v>
      </c>
      <c r="E562" s="295">
        <v>16.2</v>
      </c>
      <c r="F562" s="295"/>
      <c r="G562" s="295">
        <f t="shared" si="11"/>
        <v>16.2</v>
      </c>
      <c r="H562" s="32" t="s">
        <v>445</v>
      </c>
    </row>
    <row r="563" spans="2:8" ht="16.2">
      <c r="B563" s="293">
        <v>44838</v>
      </c>
      <c r="C563" s="357">
        <v>433</v>
      </c>
      <c r="D563" s="357">
        <v>435</v>
      </c>
      <c r="E563" s="295">
        <v>23.8</v>
      </c>
      <c r="F563" s="295"/>
      <c r="G563" s="295">
        <f t="shared" si="11"/>
        <v>23.8</v>
      </c>
      <c r="H563" s="32" t="s">
        <v>445</v>
      </c>
    </row>
    <row r="564" spans="2:8" ht="16.2">
      <c r="B564" s="293">
        <v>44839</v>
      </c>
      <c r="C564" s="358">
        <v>436</v>
      </c>
      <c r="D564" s="358">
        <v>439</v>
      </c>
      <c r="E564" s="316">
        <v>76.5</v>
      </c>
      <c r="F564" s="295"/>
      <c r="G564" s="295">
        <f t="shared" si="11"/>
        <v>76.5</v>
      </c>
      <c r="H564" s="32" t="s">
        <v>445</v>
      </c>
    </row>
    <row r="565" spans="2:8" ht="16.2">
      <c r="B565" s="293">
        <v>44841</v>
      </c>
      <c r="C565" s="357">
        <v>440</v>
      </c>
      <c r="D565" s="357">
        <v>442</v>
      </c>
      <c r="E565" s="295">
        <v>23.5</v>
      </c>
      <c r="F565" s="295"/>
      <c r="G565" s="295">
        <f t="shared" si="11"/>
        <v>23.5</v>
      </c>
      <c r="H565" s="32" t="s">
        <v>445</v>
      </c>
    </row>
    <row r="566" spans="2:8" ht="16.2">
      <c r="B566" s="293">
        <v>44842</v>
      </c>
      <c r="C566" s="358">
        <v>443</v>
      </c>
      <c r="D566" s="358">
        <v>444</v>
      </c>
      <c r="E566" s="295">
        <v>110.25</v>
      </c>
      <c r="F566" s="295"/>
      <c r="G566" s="295">
        <f t="shared" si="11"/>
        <v>110.25</v>
      </c>
      <c r="H566" s="32" t="s">
        <v>445</v>
      </c>
    </row>
    <row r="567" spans="2:8" ht="16.2">
      <c r="B567" s="293">
        <v>44843</v>
      </c>
      <c r="C567" s="357">
        <v>445</v>
      </c>
      <c r="D567" s="357">
        <v>447</v>
      </c>
      <c r="E567" s="295">
        <v>66.8</v>
      </c>
      <c r="F567" s="295"/>
      <c r="G567" s="295">
        <f t="shared" si="11"/>
        <v>66.8</v>
      </c>
      <c r="H567" s="32" t="s">
        <v>445</v>
      </c>
    </row>
    <row r="568" spans="2:8" ht="16.2">
      <c r="B568" s="293">
        <v>44845</v>
      </c>
      <c r="C568" s="358">
        <v>448</v>
      </c>
      <c r="D568" s="358">
        <v>449</v>
      </c>
      <c r="E568" s="295">
        <v>40.15</v>
      </c>
      <c r="F568" s="295"/>
      <c r="G568" s="295">
        <f t="shared" si="11"/>
        <v>40.15</v>
      </c>
      <c r="H568" s="32" t="s">
        <v>445</v>
      </c>
    </row>
    <row r="569" spans="2:8" ht="16.2">
      <c r="B569" s="293">
        <v>44846</v>
      </c>
      <c r="C569" s="357">
        <v>450</v>
      </c>
      <c r="D569" s="357">
        <v>451</v>
      </c>
      <c r="E569" s="295">
        <v>55.6</v>
      </c>
      <c r="F569" s="295"/>
      <c r="G569" s="295">
        <f t="shared" si="11"/>
        <v>55.6</v>
      </c>
      <c r="H569" s="32" t="s">
        <v>445</v>
      </c>
    </row>
    <row r="570" spans="2:8" ht="16.2">
      <c r="B570" s="293">
        <v>44847</v>
      </c>
      <c r="C570" s="358">
        <v>452</v>
      </c>
      <c r="D570" s="358">
        <v>454</v>
      </c>
      <c r="E570" s="295">
        <v>22.15</v>
      </c>
      <c r="F570" s="295"/>
      <c r="G570" s="295">
        <f t="shared" si="11"/>
        <v>22.15</v>
      </c>
      <c r="H570" s="32" t="s">
        <v>445</v>
      </c>
    </row>
    <row r="571" spans="2:8" ht="16.2">
      <c r="B571" s="293">
        <v>44851</v>
      </c>
      <c r="C571" s="357">
        <v>455</v>
      </c>
      <c r="D571" s="357">
        <v>460</v>
      </c>
      <c r="E571" s="295">
        <v>127.7</v>
      </c>
      <c r="F571" s="295"/>
      <c r="G571" s="295">
        <f t="shared" si="11"/>
        <v>127.7</v>
      </c>
      <c r="H571" s="32" t="s">
        <v>445</v>
      </c>
    </row>
    <row r="572" spans="2:8" ht="16.2">
      <c r="B572" s="293">
        <v>44852</v>
      </c>
      <c r="C572" s="358">
        <v>461</v>
      </c>
      <c r="D572" s="358">
        <v>462</v>
      </c>
      <c r="E572" s="295">
        <v>33.5</v>
      </c>
      <c r="F572" s="295"/>
      <c r="G572" s="295">
        <f t="shared" si="11"/>
        <v>33.5</v>
      </c>
      <c r="H572" s="32" t="s">
        <v>445</v>
      </c>
    </row>
    <row r="573" spans="2:8" ht="16.2">
      <c r="B573" s="293">
        <v>44854</v>
      </c>
      <c r="C573" s="357">
        <v>463</v>
      </c>
      <c r="D573" s="357">
        <v>465</v>
      </c>
      <c r="E573" s="295">
        <v>55.3</v>
      </c>
      <c r="F573" s="295"/>
      <c r="G573" s="295">
        <f t="shared" si="11"/>
        <v>55.3</v>
      </c>
      <c r="H573" s="32" t="s">
        <v>445</v>
      </c>
    </row>
    <row r="574" spans="2:8" ht="16.2">
      <c r="B574" s="293">
        <v>44855</v>
      </c>
      <c r="C574" s="358">
        <v>466</v>
      </c>
      <c r="D574" s="358">
        <v>467</v>
      </c>
      <c r="E574" s="295">
        <v>35.75</v>
      </c>
      <c r="F574" s="295"/>
      <c r="G574" s="295">
        <f t="shared" si="11"/>
        <v>35.75</v>
      </c>
      <c r="H574" s="32" t="s">
        <v>445</v>
      </c>
    </row>
    <row r="575" spans="2:8" ht="16.2">
      <c r="B575" s="293">
        <v>44856</v>
      </c>
      <c r="C575" s="357">
        <v>468</v>
      </c>
      <c r="D575" s="357">
        <v>469</v>
      </c>
      <c r="E575" s="295">
        <v>49.8</v>
      </c>
      <c r="F575" s="295"/>
      <c r="G575" s="295">
        <f t="shared" si="11"/>
        <v>49.8</v>
      </c>
      <c r="H575" s="32" t="s">
        <v>445</v>
      </c>
    </row>
    <row r="576" spans="2:8" ht="16.2">
      <c r="B576" s="293">
        <v>44857</v>
      </c>
      <c r="C576" s="358">
        <v>470</v>
      </c>
      <c r="D576" s="358">
        <v>472</v>
      </c>
      <c r="E576" s="295">
        <v>14.9</v>
      </c>
      <c r="F576" s="295"/>
      <c r="G576" s="295">
        <f t="shared" si="11"/>
        <v>14.9</v>
      </c>
      <c r="H576" s="32" t="s">
        <v>445</v>
      </c>
    </row>
    <row r="577" spans="2:8" ht="16.2">
      <c r="B577" s="293">
        <v>44858</v>
      </c>
      <c r="C577" s="357">
        <v>473</v>
      </c>
      <c r="D577" s="357">
        <v>474</v>
      </c>
      <c r="E577" s="295">
        <v>38.049999999999997</v>
      </c>
      <c r="F577" s="295"/>
      <c r="G577" s="295">
        <f t="shared" si="11"/>
        <v>38.049999999999997</v>
      </c>
      <c r="H577" s="32" t="s">
        <v>445</v>
      </c>
    </row>
    <row r="578" spans="2:8" ht="16.2">
      <c r="B578" s="293">
        <v>44859</v>
      </c>
      <c r="C578" s="358">
        <v>475</v>
      </c>
      <c r="D578" s="358">
        <v>476</v>
      </c>
      <c r="E578" s="295">
        <v>39.1</v>
      </c>
      <c r="F578" s="295"/>
      <c r="G578" s="295">
        <f t="shared" si="11"/>
        <v>39.1</v>
      </c>
      <c r="H578" s="32" t="s">
        <v>445</v>
      </c>
    </row>
    <row r="579" spans="2:8" ht="16.2">
      <c r="B579" s="293">
        <v>44860</v>
      </c>
      <c r="C579" s="357">
        <v>477</v>
      </c>
      <c r="D579" s="357">
        <v>478</v>
      </c>
      <c r="E579" s="295">
        <v>15.3</v>
      </c>
      <c r="F579" s="295"/>
      <c r="G579" s="295">
        <f t="shared" si="11"/>
        <v>15.3</v>
      </c>
      <c r="H579" s="32" t="s">
        <v>445</v>
      </c>
    </row>
    <row r="580" spans="2:8" ht="16.2">
      <c r="B580" s="293">
        <v>44861</v>
      </c>
      <c r="C580" s="358">
        <v>479</v>
      </c>
      <c r="D580" s="358">
        <v>480</v>
      </c>
      <c r="E580" s="295">
        <v>33.950000000000003</v>
      </c>
      <c r="F580" s="295"/>
      <c r="G580" s="295">
        <f t="shared" si="11"/>
        <v>33.950000000000003</v>
      </c>
      <c r="H580" s="32" t="s">
        <v>445</v>
      </c>
    </row>
    <row r="581" spans="2:8" ht="16.2">
      <c r="B581" s="293">
        <v>44863</v>
      </c>
      <c r="C581" s="357">
        <v>481</v>
      </c>
      <c r="D581" s="357">
        <v>483</v>
      </c>
      <c r="E581" s="295">
        <v>28.25</v>
      </c>
      <c r="F581" s="295"/>
      <c r="G581" s="295">
        <f t="shared" si="11"/>
        <v>28.25</v>
      </c>
      <c r="H581" s="32" t="s">
        <v>445</v>
      </c>
    </row>
    <row r="582" spans="2:8" ht="16.2">
      <c r="B582" s="293">
        <v>44864</v>
      </c>
      <c r="C582" s="358">
        <v>484</v>
      </c>
      <c r="D582" s="358">
        <v>486</v>
      </c>
      <c r="E582" s="295">
        <v>51.3</v>
      </c>
      <c r="F582" s="295"/>
      <c r="G582" s="295">
        <f t="shared" si="11"/>
        <v>51.3</v>
      </c>
      <c r="H582" s="32" t="s">
        <v>445</v>
      </c>
    </row>
    <row r="583" spans="2:8" ht="16.2">
      <c r="B583" s="293">
        <v>44865</v>
      </c>
      <c r="C583" s="357">
        <v>487</v>
      </c>
      <c r="D583" s="357">
        <v>489</v>
      </c>
      <c r="E583" s="295">
        <v>27.75</v>
      </c>
      <c r="F583" s="295"/>
      <c r="G583" s="295">
        <f t="shared" si="11"/>
        <v>27.75</v>
      </c>
      <c r="H583" s="32" t="s">
        <v>445</v>
      </c>
    </row>
    <row r="584" spans="2:8" ht="16.2">
      <c r="B584" s="222"/>
      <c r="C584" s="200"/>
      <c r="D584" s="200"/>
      <c r="E584" s="27"/>
      <c r="F584" s="27"/>
      <c r="G584" s="27"/>
      <c r="H584" s="1"/>
    </row>
    <row r="585" spans="2:8" ht="13.8">
      <c r="B585" s="119"/>
      <c r="C585" s="120" t="s">
        <v>10</v>
      </c>
      <c r="D585" s="121"/>
      <c r="E585" s="159">
        <f>SUM(E553:E584)</f>
        <v>2936.5000000000009</v>
      </c>
      <c r="F585" s="159">
        <f>SUM(F554:F558)</f>
        <v>0</v>
      </c>
      <c r="G585" s="159">
        <f>SUM(G553:G584)</f>
        <v>2936.5000000000009</v>
      </c>
      <c r="H585" s="122"/>
    </row>
    <row r="586" spans="2:8">
      <c r="G586" s="28"/>
    </row>
    <row r="587" spans="2:8" ht="17.399999999999999">
      <c r="B587" s="83"/>
      <c r="C587" s="90" t="s">
        <v>39</v>
      </c>
      <c r="D587" s="90"/>
      <c r="E587" s="90"/>
      <c r="F587" s="90"/>
      <c r="G587" s="153">
        <f>+E585/1.13</f>
        <v>2598.6725663716825</v>
      </c>
    </row>
    <row r="588" spans="2:8" ht="18" thickBot="1">
      <c r="B588" s="83"/>
      <c r="C588" s="92" t="s">
        <v>40</v>
      </c>
      <c r="D588" s="90" t="s">
        <v>41</v>
      </c>
      <c r="E588" s="90"/>
      <c r="F588" s="90"/>
      <c r="G588" s="154">
        <f>+G587*0.13</f>
        <v>337.82743362831872</v>
      </c>
      <c r="H588" s="29"/>
    </row>
    <row r="589" spans="2:8" ht="18" thickTop="1">
      <c r="B589" s="83"/>
      <c r="C589" s="90"/>
      <c r="D589" s="90" t="s">
        <v>6</v>
      </c>
      <c r="E589" s="90"/>
      <c r="F589" s="90"/>
      <c r="G589" s="153">
        <f>SUM(G587:G588)</f>
        <v>2936.5000000000014</v>
      </c>
    </row>
    <row r="590" spans="2:8" ht="15.6">
      <c r="B590" s="83"/>
      <c r="C590" s="83"/>
      <c r="E590" s="83"/>
      <c r="F590" s="83"/>
      <c r="G590" s="83"/>
      <c r="H590" s="29"/>
    </row>
    <row r="591" spans="2:8" ht="16.2" thickBot="1">
      <c r="B591" s="91" t="s">
        <v>11</v>
      </c>
      <c r="C591" s="91"/>
      <c r="D591" s="83"/>
      <c r="E591" s="83"/>
      <c r="F591" s="83"/>
      <c r="G591" s="104"/>
    </row>
    <row r="592" spans="2:8" ht="17.399999999999999">
      <c r="B592" s="90" t="s">
        <v>84</v>
      </c>
      <c r="C592" s="83"/>
      <c r="D592" s="83"/>
      <c r="E592" s="83"/>
      <c r="F592" s="83"/>
      <c r="G592" s="83"/>
    </row>
    <row r="593" spans="2:8" ht="15.6">
      <c r="B593" s="83" t="s">
        <v>12</v>
      </c>
      <c r="C593" s="83"/>
      <c r="D593" s="83"/>
      <c r="E593" s="83"/>
      <c r="F593" s="83"/>
      <c r="G593" s="83"/>
    </row>
    <row r="601" spans="2:8" ht="15.6">
      <c r="B601" s="116"/>
      <c r="C601" s="117" t="s">
        <v>14</v>
      </c>
      <c r="D601" s="117"/>
      <c r="E601" s="117"/>
      <c r="F601" s="117" t="s">
        <v>79</v>
      </c>
      <c r="G601" s="117"/>
      <c r="H601" s="117"/>
    </row>
    <row r="602" spans="2:8" ht="15.6">
      <c r="B602" s="116"/>
      <c r="C602" s="117" t="s">
        <v>32</v>
      </c>
      <c r="D602" s="117"/>
      <c r="E602" s="117"/>
      <c r="F602" s="117" t="s">
        <v>80</v>
      </c>
      <c r="G602" s="117"/>
      <c r="H602" s="117"/>
    </row>
    <row r="603" spans="2:8" ht="19.2">
      <c r="B603" s="116" t="s">
        <v>16</v>
      </c>
      <c r="C603" s="356" t="s">
        <v>557</v>
      </c>
      <c r="D603" s="116" t="s">
        <v>33</v>
      </c>
      <c r="E603" s="202">
        <v>2022</v>
      </c>
      <c r="F603" s="117" t="s">
        <v>34</v>
      </c>
      <c r="G603" s="118" t="s">
        <v>78</v>
      </c>
      <c r="H603" s="116"/>
    </row>
    <row r="604" spans="2:8">
      <c r="B604" s="82"/>
      <c r="C604" s="82"/>
      <c r="D604" s="82"/>
      <c r="E604" s="82"/>
      <c r="F604" s="82"/>
      <c r="G604" s="82"/>
      <c r="H604" s="82"/>
    </row>
    <row r="605" spans="2:8">
      <c r="B605" s="126" t="s">
        <v>0</v>
      </c>
      <c r="C605" s="126" t="s">
        <v>35</v>
      </c>
      <c r="D605" s="126" t="s">
        <v>36</v>
      </c>
      <c r="E605" s="126" t="s">
        <v>37</v>
      </c>
      <c r="F605" s="126" t="s">
        <v>38</v>
      </c>
      <c r="G605" s="126" t="s">
        <v>38</v>
      </c>
      <c r="H605" s="126"/>
    </row>
    <row r="606" spans="2:8">
      <c r="B606" s="127"/>
      <c r="C606" s="127"/>
      <c r="D606" s="127"/>
      <c r="E606" s="127" t="s">
        <v>5</v>
      </c>
      <c r="F606" s="127" t="s">
        <v>4</v>
      </c>
      <c r="G606" s="127" t="s">
        <v>10</v>
      </c>
      <c r="H606" s="127"/>
    </row>
    <row r="607" spans="2:8" ht="16.2">
      <c r="B607" s="293">
        <v>44869</v>
      </c>
      <c r="C607" s="358">
        <v>863</v>
      </c>
      <c r="D607" s="358">
        <v>883</v>
      </c>
      <c r="E607" s="27">
        <v>247.5</v>
      </c>
      <c r="F607" s="27"/>
      <c r="G607" s="27">
        <f>E607+F607</f>
        <v>247.5</v>
      </c>
      <c r="H607" s="325" t="s">
        <v>444</v>
      </c>
    </row>
    <row r="608" spans="2:8" ht="16.2">
      <c r="B608" s="293">
        <v>44874</v>
      </c>
      <c r="C608" s="358">
        <v>884</v>
      </c>
      <c r="D608" s="358">
        <v>900</v>
      </c>
      <c r="E608" s="27">
        <v>196.75</v>
      </c>
      <c r="F608" s="27"/>
      <c r="G608" s="27">
        <f>E608+F608</f>
        <v>196.75</v>
      </c>
      <c r="H608" s="325" t="s">
        <v>444</v>
      </c>
    </row>
    <row r="609" spans="2:8" ht="16.2">
      <c r="B609" s="293">
        <v>44876</v>
      </c>
      <c r="C609" s="358">
        <v>901</v>
      </c>
      <c r="D609" s="358">
        <v>918</v>
      </c>
      <c r="E609" s="27">
        <v>198.5</v>
      </c>
      <c r="F609" s="27"/>
      <c r="G609" s="27">
        <f t="shared" ref="G609:G630" si="12">E609+F609</f>
        <v>198.5</v>
      </c>
      <c r="H609" s="325" t="s">
        <v>444</v>
      </c>
    </row>
    <row r="610" spans="2:8" ht="16.2">
      <c r="B610" s="293">
        <v>44881</v>
      </c>
      <c r="C610" s="358">
        <v>919</v>
      </c>
      <c r="D610" s="358">
        <v>937</v>
      </c>
      <c r="E610" s="27">
        <v>209</v>
      </c>
      <c r="F610" s="27"/>
      <c r="G610" s="27">
        <f t="shared" si="12"/>
        <v>209</v>
      </c>
      <c r="H610" s="325" t="s">
        <v>444</v>
      </c>
    </row>
    <row r="611" spans="2:8" ht="16.2">
      <c r="B611" s="293">
        <v>44883</v>
      </c>
      <c r="C611" s="358">
        <v>938</v>
      </c>
      <c r="D611" s="358">
        <v>953</v>
      </c>
      <c r="E611" s="27">
        <v>176.75</v>
      </c>
      <c r="F611" s="27"/>
      <c r="G611" s="27">
        <f t="shared" si="12"/>
        <v>176.75</v>
      </c>
      <c r="H611" s="325" t="s">
        <v>444</v>
      </c>
    </row>
    <row r="612" spans="2:8" ht="16.2">
      <c r="B612" s="293">
        <v>44888</v>
      </c>
      <c r="C612" s="358">
        <v>954</v>
      </c>
      <c r="D612" s="358">
        <v>965</v>
      </c>
      <c r="E612" s="27">
        <v>131</v>
      </c>
      <c r="F612" s="27"/>
      <c r="G612" s="27">
        <f t="shared" si="12"/>
        <v>131</v>
      </c>
      <c r="H612" s="325" t="s">
        <v>444</v>
      </c>
    </row>
    <row r="613" spans="2:8" ht="16.2">
      <c r="B613" s="293">
        <v>44890</v>
      </c>
      <c r="C613" s="358">
        <v>966</v>
      </c>
      <c r="D613" s="358">
        <v>986</v>
      </c>
      <c r="E613" s="27">
        <v>231.5</v>
      </c>
      <c r="F613" s="27"/>
      <c r="G613" s="27">
        <f t="shared" si="12"/>
        <v>231.5</v>
      </c>
      <c r="H613" s="325" t="s">
        <v>444</v>
      </c>
    </row>
    <row r="614" spans="2:8" ht="16.2">
      <c r="B614" s="293">
        <v>44892</v>
      </c>
      <c r="C614" s="358">
        <v>987</v>
      </c>
      <c r="D614" s="358">
        <v>1006</v>
      </c>
      <c r="E614" s="27">
        <v>217.25</v>
      </c>
      <c r="F614" s="27"/>
      <c r="G614" s="27">
        <f t="shared" ref="G614" si="13">E614+F614</f>
        <v>217.25</v>
      </c>
      <c r="H614" s="325" t="s">
        <v>444</v>
      </c>
    </row>
    <row r="615" spans="2:8" ht="16.2">
      <c r="B615" s="293">
        <v>44866</v>
      </c>
      <c r="C615" s="358">
        <v>490</v>
      </c>
      <c r="D615" s="358">
        <v>491</v>
      </c>
      <c r="E615" s="27">
        <v>15.9</v>
      </c>
      <c r="F615" s="27"/>
      <c r="G615" s="27">
        <f t="shared" si="12"/>
        <v>15.9</v>
      </c>
      <c r="H615" s="325" t="s">
        <v>445</v>
      </c>
    </row>
    <row r="616" spans="2:8" ht="16.2">
      <c r="B616" s="293">
        <v>44868</v>
      </c>
      <c r="C616" s="358">
        <v>492</v>
      </c>
      <c r="D616" s="358">
        <v>493</v>
      </c>
      <c r="E616" s="27">
        <v>17.850000000000001</v>
      </c>
      <c r="F616" s="27"/>
      <c r="G616" s="27">
        <f t="shared" si="12"/>
        <v>17.850000000000001</v>
      </c>
      <c r="H616" s="325" t="s">
        <v>445</v>
      </c>
    </row>
    <row r="617" spans="2:8" ht="16.2">
      <c r="B617" s="293">
        <v>44869</v>
      </c>
      <c r="C617" s="358">
        <v>494</v>
      </c>
      <c r="D617" s="358">
        <v>495</v>
      </c>
      <c r="E617" s="27">
        <v>24.7</v>
      </c>
      <c r="F617" s="27"/>
      <c r="G617" s="27">
        <f t="shared" si="12"/>
        <v>24.7</v>
      </c>
      <c r="H617" s="325" t="s">
        <v>445</v>
      </c>
    </row>
    <row r="618" spans="2:8" ht="16.2">
      <c r="B618" s="293">
        <v>44870</v>
      </c>
      <c r="C618" s="358">
        <v>496</v>
      </c>
      <c r="D618" s="358">
        <v>497</v>
      </c>
      <c r="E618" s="27">
        <v>47.55</v>
      </c>
      <c r="F618" s="27"/>
      <c r="G618" s="27">
        <f t="shared" si="12"/>
        <v>47.55</v>
      </c>
      <c r="H618" s="325" t="s">
        <v>445</v>
      </c>
    </row>
    <row r="619" spans="2:8" ht="16.2">
      <c r="B619" s="293">
        <v>44871</v>
      </c>
      <c r="C619" s="358">
        <v>498</v>
      </c>
      <c r="D619" s="358">
        <v>500</v>
      </c>
      <c r="E619" s="27">
        <v>23.4</v>
      </c>
      <c r="F619" s="27"/>
      <c r="G619" s="27">
        <f t="shared" si="12"/>
        <v>23.4</v>
      </c>
      <c r="H619" s="325" t="s">
        <v>445</v>
      </c>
    </row>
    <row r="620" spans="2:8" ht="16.2">
      <c r="B620" s="293">
        <v>44873</v>
      </c>
      <c r="C620" s="358">
        <v>501</v>
      </c>
      <c r="D620" s="358">
        <v>504</v>
      </c>
      <c r="E620" s="27">
        <v>32.15</v>
      </c>
      <c r="F620" s="27"/>
      <c r="G620" s="27">
        <f t="shared" si="12"/>
        <v>32.15</v>
      </c>
      <c r="H620" s="325" t="s">
        <v>445</v>
      </c>
    </row>
    <row r="621" spans="2:8" ht="16.2">
      <c r="B621" s="293">
        <v>44874</v>
      </c>
      <c r="C621" s="358">
        <v>505</v>
      </c>
      <c r="D621" s="358">
        <v>508</v>
      </c>
      <c r="E621" s="27">
        <v>35.25</v>
      </c>
      <c r="F621" s="27"/>
      <c r="G621" s="27">
        <f t="shared" si="12"/>
        <v>35.25</v>
      </c>
      <c r="H621" s="325" t="s">
        <v>445</v>
      </c>
    </row>
    <row r="622" spans="2:8" ht="16.2">
      <c r="B622" s="293">
        <v>44876</v>
      </c>
      <c r="C622" s="358">
        <v>509</v>
      </c>
      <c r="D622" s="358">
        <v>512</v>
      </c>
      <c r="E622" s="27">
        <v>42.2</v>
      </c>
      <c r="F622" s="27"/>
      <c r="G622" s="27">
        <f t="shared" si="12"/>
        <v>42.2</v>
      </c>
      <c r="H622" s="325" t="s">
        <v>445</v>
      </c>
    </row>
    <row r="623" spans="2:8" ht="16.2">
      <c r="B623" s="293">
        <v>44880</v>
      </c>
      <c r="C623" s="358">
        <v>513</v>
      </c>
      <c r="D623" s="358">
        <v>519</v>
      </c>
      <c r="E623" s="27">
        <v>109.1</v>
      </c>
      <c r="F623" s="27"/>
      <c r="G623" s="27">
        <f t="shared" si="12"/>
        <v>109.1</v>
      </c>
      <c r="H623" s="325" t="s">
        <v>445</v>
      </c>
    </row>
    <row r="624" spans="2:8" ht="16.2">
      <c r="B624" s="293">
        <v>44883</v>
      </c>
      <c r="C624" s="358">
        <v>520</v>
      </c>
      <c r="D624" s="358">
        <v>524</v>
      </c>
      <c r="E624" s="27">
        <v>38.299999999999997</v>
      </c>
      <c r="F624" s="27"/>
      <c r="G624" s="27">
        <f t="shared" si="12"/>
        <v>38.299999999999997</v>
      </c>
      <c r="H624" s="325" t="s">
        <v>445</v>
      </c>
    </row>
    <row r="625" spans="2:8" ht="16.2">
      <c r="B625" s="293">
        <v>44885</v>
      </c>
      <c r="C625" s="358">
        <v>525</v>
      </c>
      <c r="D625" s="358">
        <v>530</v>
      </c>
      <c r="E625" s="27">
        <v>95.2</v>
      </c>
      <c r="F625" s="27"/>
      <c r="G625" s="27">
        <f t="shared" si="12"/>
        <v>95.2</v>
      </c>
      <c r="H625" s="325" t="s">
        <v>445</v>
      </c>
    </row>
    <row r="626" spans="2:8" ht="16.2">
      <c r="B626" s="293">
        <v>44888</v>
      </c>
      <c r="C626" s="358">
        <v>531</v>
      </c>
      <c r="D626" s="358">
        <v>535</v>
      </c>
      <c r="E626" s="27">
        <v>49.75</v>
      </c>
      <c r="F626" s="27"/>
      <c r="G626" s="27">
        <f t="shared" si="12"/>
        <v>49.75</v>
      </c>
      <c r="H626" s="325" t="s">
        <v>445</v>
      </c>
    </row>
    <row r="627" spans="2:8" ht="16.2">
      <c r="B627" s="293">
        <v>44890</v>
      </c>
      <c r="C627" s="358">
        <v>536</v>
      </c>
      <c r="D627" s="358">
        <v>540</v>
      </c>
      <c r="E627" s="27">
        <v>62.25</v>
      </c>
      <c r="F627" s="27"/>
      <c r="G627" s="27">
        <f t="shared" si="12"/>
        <v>62.25</v>
      </c>
      <c r="H627" s="325" t="s">
        <v>445</v>
      </c>
    </row>
    <row r="628" spans="2:8" ht="16.2">
      <c r="B628" s="293">
        <v>44892</v>
      </c>
      <c r="C628" s="358">
        <v>541</v>
      </c>
      <c r="D628" s="358">
        <v>543</v>
      </c>
      <c r="E628" s="27">
        <v>81.849999999999994</v>
      </c>
      <c r="F628" s="27"/>
      <c r="G628" s="27">
        <f t="shared" si="12"/>
        <v>81.849999999999994</v>
      </c>
      <c r="H628" s="325" t="s">
        <v>445</v>
      </c>
    </row>
    <row r="629" spans="2:8" ht="16.2">
      <c r="B629" s="293">
        <v>44893</v>
      </c>
      <c r="C629" s="358">
        <v>544</v>
      </c>
      <c r="D629" s="358">
        <v>545</v>
      </c>
      <c r="E629" s="27">
        <v>23.6</v>
      </c>
      <c r="F629" s="27"/>
      <c r="G629" s="27">
        <f t="shared" si="12"/>
        <v>23.6</v>
      </c>
      <c r="H629" s="325" t="s">
        <v>445</v>
      </c>
    </row>
    <row r="630" spans="2:8" ht="16.2">
      <c r="B630" s="293">
        <v>44895</v>
      </c>
      <c r="C630" s="358">
        <v>546</v>
      </c>
      <c r="D630" s="358">
        <v>548</v>
      </c>
      <c r="E630" s="27">
        <v>51.95</v>
      </c>
      <c r="F630" s="27"/>
      <c r="G630" s="27">
        <f t="shared" si="12"/>
        <v>51.95</v>
      </c>
      <c r="H630" s="325" t="s">
        <v>445</v>
      </c>
    </row>
    <row r="631" spans="2:8" ht="16.2">
      <c r="B631" s="222"/>
      <c r="C631" s="200"/>
      <c r="D631" s="200"/>
      <c r="E631" s="27"/>
      <c r="F631" s="27"/>
      <c r="G631" s="27"/>
      <c r="H631" s="1"/>
    </row>
    <row r="632" spans="2:8" ht="13.8">
      <c r="B632" s="119"/>
      <c r="C632" s="120" t="s">
        <v>10</v>
      </c>
      <c r="D632" s="121"/>
      <c r="E632" s="159">
        <f>SUM(E607:E631)</f>
        <v>2359.2499999999995</v>
      </c>
      <c r="F632" s="159">
        <f>SUM(F608:F612)</f>
        <v>0</v>
      </c>
      <c r="G632" s="159">
        <f>SUM(G607:G631)</f>
        <v>2359.2499999999995</v>
      </c>
      <c r="H632" s="122"/>
    </row>
    <row r="633" spans="2:8">
      <c r="G633" s="28"/>
    </row>
    <row r="634" spans="2:8" ht="17.399999999999999">
      <c r="B634" s="83"/>
      <c r="C634" s="90" t="s">
        <v>39</v>
      </c>
      <c r="D634" s="90"/>
      <c r="E634" s="90"/>
      <c r="F634" s="90"/>
      <c r="G634" s="153">
        <f>+E632/1.13</f>
        <v>2087.8318584070794</v>
      </c>
    </row>
    <row r="635" spans="2:8" ht="18" thickBot="1">
      <c r="B635" s="83"/>
      <c r="C635" s="92" t="s">
        <v>40</v>
      </c>
      <c r="D635" s="90" t="s">
        <v>41</v>
      </c>
      <c r="E635" s="90"/>
      <c r="F635" s="90"/>
      <c r="G635" s="154">
        <f>+G634*0.13</f>
        <v>271.41814159292034</v>
      </c>
      <c r="H635" s="29"/>
    </row>
    <row r="636" spans="2:8" ht="18" thickTop="1">
      <c r="B636" s="83"/>
      <c r="C636" s="90"/>
      <c r="D636" s="90" t="s">
        <v>6</v>
      </c>
      <c r="E636" s="90"/>
      <c r="F636" s="90"/>
      <c r="G636" s="153">
        <f>SUM(G634:G635)</f>
        <v>2359.2499999999995</v>
      </c>
    </row>
    <row r="637" spans="2:8" ht="15.6">
      <c r="B637" s="83"/>
      <c r="C637" s="83"/>
      <c r="E637" s="83"/>
      <c r="F637" s="83"/>
      <c r="G637" s="83"/>
      <c r="H637" s="29"/>
    </row>
    <row r="638" spans="2:8" ht="16.2" thickBot="1">
      <c r="B638" s="91" t="s">
        <v>11</v>
      </c>
      <c r="C638" s="91"/>
      <c r="D638" s="83"/>
      <c r="E638" s="83"/>
      <c r="F638" s="83"/>
      <c r="G638" s="104"/>
    </row>
    <row r="639" spans="2:8" ht="17.399999999999999">
      <c r="B639" s="90" t="s">
        <v>84</v>
      </c>
      <c r="C639" s="83"/>
      <c r="D639" s="83"/>
      <c r="E639" s="83"/>
      <c r="F639" s="83"/>
      <c r="G639" s="83"/>
    </row>
    <row r="640" spans="2:8" ht="15.6">
      <c r="B640" s="83" t="s">
        <v>12</v>
      </c>
      <c r="C640" s="83"/>
      <c r="D640" s="83"/>
      <c r="E640" s="83"/>
      <c r="F640" s="83"/>
      <c r="G640" s="83"/>
    </row>
    <row r="647" spans="2:8" ht="15.6">
      <c r="B647" s="116"/>
      <c r="C647" s="117" t="s">
        <v>14</v>
      </c>
      <c r="D647" s="117"/>
      <c r="E647" s="117"/>
      <c r="F647" s="117" t="s">
        <v>79</v>
      </c>
      <c r="G647" s="117"/>
      <c r="H647" s="117"/>
    </row>
    <row r="648" spans="2:8" ht="15.6">
      <c r="B648" s="116"/>
      <c r="C648" s="117" t="s">
        <v>32</v>
      </c>
      <c r="D648" s="117"/>
      <c r="E648" s="117"/>
      <c r="F648" s="117" t="s">
        <v>80</v>
      </c>
      <c r="G648" s="117"/>
      <c r="H648" s="117"/>
    </row>
    <row r="649" spans="2:8" ht="19.2">
      <c r="B649" s="116" t="s">
        <v>16</v>
      </c>
      <c r="C649" s="356" t="s">
        <v>81</v>
      </c>
      <c r="D649" s="116" t="s">
        <v>33</v>
      </c>
      <c r="E649" s="202">
        <v>2022</v>
      </c>
      <c r="F649" s="117" t="s">
        <v>34</v>
      </c>
      <c r="G649" s="118" t="s">
        <v>78</v>
      </c>
      <c r="H649" s="116"/>
    </row>
    <row r="650" spans="2:8">
      <c r="B650" s="82"/>
      <c r="C650" s="82"/>
      <c r="D650" s="82"/>
      <c r="E650" s="82"/>
      <c r="F650" s="82"/>
      <c r="G650" s="82"/>
      <c r="H650" s="82"/>
    </row>
    <row r="651" spans="2:8">
      <c r="B651" s="126" t="s">
        <v>0</v>
      </c>
      <c r="C651" s="126" t="s">
        <v>35</v>
      </c>
      <c r="D651" s="126" t="s">
        <v>36</v>
      </c>
      <c r="E651" s="126" t="s">
        <v>37</v>
      </c>
      <c r="F651" s="126" t="s">
        <v>38</v>
      </c>
      <c r="G651" s="126" t="s">
        <v>38</v>
      </c>
      <c r="H651" s="126"/>
    </row>
    <row r="652" spans="2:8">
      <c r="B652" s="127"/>
      <c r="C652" s="127"/>
      <c r="D652" s="127"/>
      <c r="E652" s="127" t="s">
        <v>5</v>
      </c>
      <c r="F652" s="127" t="s">
        <v>4</v>
      </c>
      <c r="G652" s="127" t="s">
        <v>10</v>
      </c>
      <c r="H652" s="127"/>
    </row>
    <row r="653" spans="2:8" ht="16.2">
      <c r="B653" s="293">
        <v>44897</v>
      </c>
      <c r="C653" s="358">
        <v>1007</v>
      </c>
      <c r="D653" s="358">
        <v>1029</v>
      </c>
      <c r="E653" s="27">
        <v>258</v>
      </c>
      <c r="F653" s="27"/>
      <c r="G653" s="27">
        <f>E653+F653</f>
        <v>258</v>
      </c>
      <c r="H653" s="325" t="s">
        <v>444</v>
      </c>
    </row>
    <row r="654" spans="2:8" ht="16.2">
      <c r="B654" s="293">
        <v>44902</v>
      </c>
      <c r="C654" s="358">
        <v>1030</v>
      </c>
      <c r="D654" s="358">
        <v>1048</v>
      </c>
      <c r="E654" s="27">
        <v>196.25</v>
      </c>
      <c r="F654" s="27"/>
      <c r="G654" s="27">
        <f>E654+F654</f>
        <v>196.25</v>
      </c>
      <c r="H654" s="325" t="s">
        <v>444</v>
      </c>
    </row>
    <row r="655" spans="2:8" ht="16.2">
      <c r="B655" s="293">
        <v>44904</v>
      </c>
      <c r="C655" s="358">
        <v>1049</v>
      </c>
      <c r="D655" s="358">
        <v>1073</v>
      </c>
      <c r="E655" s="27">
        <v>277.5</v>
      </c>
      <c r="F655" s="27"/>
      <c r="G655" s="27">
        <f t="shared" ref="G655:G680" si="14">E655+F655</f>
        <v>277.5</v>
      </c>
      <c r="H655" s="325" t="s">
        <v>444</v>
      </c>
    </row>
    <row r="656" spans="2:8" ht="16.2">
      <c r="B656" s="293">
        <v>44909</v>
      </c>
      <c r="C656" s="358">
        <v>1074</v>
      </c>
      <c r="D656" s="358">
        <v>1095</v>
      </c>
      <c r="E656" s="27">
        <v>250.5</v>
      </c>
      <c r="F656" s="27"/>
      <c r="G656" s="27">
        <f t="shared" si="14"/>
        <v>250.5</v>
      </c>
      <c r="H656" s="325" t="s">
        <v>444</v>
      </c>
    </row>
    <row r="657" spans="2:8" ht="16.2">
      <c r="B657" s="293">
        <v>44911</v>
      </c>
      <c r="C657" s="358">
        <v>1096</v>
      </c>
      <c r="D657" s="358">
        <v>1131</v>
      </c>
      <c r="E657" s="27">
        <v>391.5</v>
      </c>
      <c r="F657" s="27"/>
      <c r="G657" s="27">
        <f t="shared" si="14"/>
        <v>391.5</v>
      </c>
      <c r="H657" s="325" t="s">
        <v>444</v>
      </c>
    </row>
    <row r="658" spans="2:8" ht="16.2">
      <c r="B658" s="293">
        <v>44916</v>
      </c>
      <c r="C658" s="358">
        <v>1132</v>
      </c>
      <c r="D658" s="358">
        <v>1152</v>
      </c>
      <c r="E658" s="27">
        <v>242.25</v>
      </c>
      <c r="F658" s="27"/>
      <c r="G658" s="27">
        <f t="shared" si="14"/>
        <v>242.25</v>
      </c>
      <c r="H658" s="325" t="s">
        <v>444</v>
      </c>
    </row>
    <row r="659" spans="2:8" ht="16.2">
      <c r="B659" s="293">
        <v>44918</v>
      </c>
      <c r="C659" s="358">
        <v>1153</v>
      </c>
      <c r="D659" s="358">
        <v>1180</v>
      </c>
      <c r="E659" s="27">
        <v>305.75</v>
      </c>
      <c r="F659" s="27"/>
      <c r="G659" s="27">
        <f t="shared" si="14"/>
        <v>305.75</v>
      </c>
      <c r="H659" s="325" t="s">
        <v>444</v>
      </c>
    </row>
    <row r="660" spans="2:8" ht="16.2">
      <c r="B660" s="293">
        <v>44923</v>
      </c>
      <c r="C660" s="358">
        <v>1181</v>
      </c>
      <c r="D660" s="358">
        <v>1200</v>
      </c>
      <c r="E660" s="27">
        <v>216.25</v>
      </c>
      <c r="F660" s="27"/>
      <c r="G660" s="27">
        <f t="shared" si="14"/>
        <v>216.25</v>
      </c>
      <c r="H660" s="325" t="s">
        <v>444</v>
      </c>
    </row>
    <row r="661" spans="2:8" ht="16.2">
      <c r="B661" s="293">
        <v>44925</v>
      </c>
      <c r="C661" s="358">
        <v>1201</v>
      </c>
      <c r="D661" s="358">
        <v>1227</v>
      </c>
      <c r="E661" s="27">
        <v>303.25</v>
      </c>
      <c r="F661" s="27"/>
      <c r="G661" s="27">
        <f t="shared" si="14"/>
        <v>303.25</v>
      </c>
      <c r="H661" s="325" t="s">
        <v>444</v>
      </c>
    </row>
    <row r="662" spans="2:8" ht="16.2">
      <c r="B662" s="293">
        <v>44896</v>
      </c>
      <c r="C662" s="358">
        <v>549</v>
      </c>
      <c r="D662" s="358">
        <v>551</v>
      </c>
      <c r="E662" s="27">
        <v>65.75</v>
      </c>
      <c r="F662" s="27"/>
      <c r="G662" s="27">
        <f t="shared" si="14"/>
        <v>65.75</v>
      </c>
      <c r="H662" s="325" t="s">
        <v>445</v>
      </c>
    </row>
    <row r="663" spans="2:8" ht="16.2">
      <c r="B663" s="293">
        <v>44897</v>
      </c>
      <c r="C663" s="358">
        <v>552</v>
      </c>
      <c r="D663" s="358">
        <v>553</v>
      </c>
      <c r="E663" s="27">
        <v>22.35</v>
      </c>
      <c r="F663" s="27"/>
      <c r="G663" s="27">
        <f t="shared" si="14"/>
        <v>22.35</v>
      </c>
      <c r="H663" s="325" t="s">
        <v>445</v>
      </c>
    </row>
    <row r="664" spans="2:8" ht="16.2">
      <c r="B664" s="293">
        <v>44898</v>
      </c>
      <c r="C664" s="358">
        <v>554</v>
      </c>
      <c r="D664" s="358">
        <v>556</v>
      </c>
      <c r="E664" s="27">
        <v>61.95</v>
      </c>
      <c r="F664" s="27"/>
      <c r="G664" s="27">
        <f t="shared" si="14"/>
        <v>61.95</v>
      </c>
      <c r="H664" s="325" t="s">
        <v>445</v>
      </c>
    </row>
    <row r="665" spans="2:8" ht="16.2">
      <c r="B665" s="293">
        <v>44899</v>
      </c>
      <c r="C665" s="358">
        <v>557</v>
      </c>
      <c r="D665" s="358">
        <v>549</v>
      </c>
      <c r="E665" s="27">
        <v>65.400000000000006</v>
      </c>
      <c r="F665" s="27"/>
      <c r="G665" s="27">
        <f t="shared" si="14"/>
        <v>65.400000000000006</v>
      </c>
      <c r="H665" s="325" t="s">
        <v>445</v>
      </c>
    </row>
    <row r="666" spans="2:8" ht="16.2">
      <c r="B666" s="293">
        <v>44900</v>
      </c>
      <c r="C666" s="358">
        <v>560</v>
      </c>
      <c r="D666" s="358">
        <v>562</v>
      </c>
      <c r="E666" s="27">
        <v>41.35</v>
      </c>
      <c r="F666" s="27"/>
      <c r="G666" s="27">
        <f t="shared" si="14"/>
        <v>41.35</v>
      </c>
      <c r="H666" s="325" t="s">
        <v>445</v>
      </c>
    </row>
    <row r="667" spans="2:8" ht="16.2">
      <c r="B667" s="293">
        <v>44902</v>
      </c>
      <c r="C667" s="358">
        <v>563</v>
      </c>
      <c r="D667" s="358">
        <v>566</v>
      </c>
      <c r="E667" s="27">
        <v>62.6</v>
      </c>
      <c r="F667" s="27"/>
      <c r="G667" s="27">
        <f t="shared" si="14"/>
        <v>62.6</v>
      </c>
      <c r="H667" s="325" t="s">
        <v>445</v>
      </c>
    </row>
    <row r="668" spans="2:8" ht="16.2">
      <c r="B668" s="293">
        <v>44903</v>
      </c>
      <c r="C668" s="358">
        <v>567</v>
      </c>
      <c r="D668" s="358">
        <v>570</v>
      </c>
      <c r="E668" s="27">
        <v>48.3</v>
      </c>
      <c r="F668" s="27"/>
      <c r="G668" s="27">
        <f t="shared" si="14"/>
        <v>48.3</v>
      </c>
      <c r="H668" s="325" t="s">
        <v>445</v>
      </c>
    </row>
    <row r="669" spans="2:8" ht="16.2">
      <c r="B669" s="293">
        <v>44905</v>
      </c>
      <c r="C669" s="358">
        <v>571</v>
      </c>
      <c r="D669" s="358">
        <v>575</v>
      </c>
      <c r="E669" s="27">
        <v>113.75</v>
      </c>
      <c r="F669" s="27"/>
      <c r="G669" s="27">
        <f t="shared" si="14"/>
        <v>113.75</v>
      </c>
      <c r="H669" s="325" t="s">
        <v>445</v>
      </c>
    </row>
    <row r="670" spans="2:8" ht="16.2">
      <c r="B670" s="293">
        <v>44908</v>
      </c>
      <c r="C670" s="358">
        <v>576</v>
      </c>
      <c r="D670" s="358">
        <v>577</v>
      </c>
      <c r="E670" s="27">
        <v>29.6</v>
      </c>
      <c r="F670" s="27"/>
      <c r="G670" s="27">
        <f t="shared" si="14"/>
        <v>29.6</v>
      </c>
      <c r="H670" s="325" t="s">
        <v>445</v>
      </c>
    </row>
    <row r="671" spans="2:8" ht="16.2">
      <c r="B671" s="293">
        <v>44910</v>
      </c>
      <c r="C671" s="358">
        <v>578</v>
      </c>
      <c r="D671" s="358">
        <v>580</v>
      </c>
      <c r="E671" s="27">
        <v>54.1</v>
      </c>
      <c r="F671" s="27"/>
      <c r="G671" s="27">
        <f t="shared" si="14"/>
        <v>54.1</v>
      </c>
      <c r="H671" s="325" t="s">
        <v>445</v>
      </c>
    </row>
    <row r="672" spans="2:8" ht="16.2">
      <c r="B672" s="293">
        <v>44911</v>
      </c>
      <c r="C672" s="358">
        <v>581</v>
      </c>
      <c r="D672" s="358">
        <v>585</v>
      </c>
      <c r="E672" s="27">
        <v>61.65</v>
      </c>
      <c r="F672" s="27"/>
      <c r="G672" s="27">
        <f t="shared" si="14"/>
        <v>61.65</v>
      </c>
      <c r="H672" s="325" t="s">
        <v>445</v>
      </c>
    </row>
    <row r="673" spans="2:8" ht="16.2">
      <c r="B673" s="293">
        <v>44912</v>
      </c>
      <c r="C673" s="358">
        <v>586</v>
      </c>
      <c r="D673" s="358">
        <v>591</v>
      </c>
      <c r="E673" s="27">
        <v>133.44999999999999</v>
      </c>
      <c r="F673" s="27"/>
      <c r="G673" s="27">
        <f t="shared" si="14"/>
        <v>133.44999999999999</v>
      </c>
      <c r="H673" s="325" t="s">
        <v>445</v>
      </c>
    </row>
    <row r="674" spans="2:8" ht="16.2">
      <c r="B674" s="293">
        <v>44914</v>
      </c>
      <c r="C674" s="358">
        <v>592</v>
      </c>
      <c r="D674" s="358">
        <v>594</v>
      </c>
      <c r="E674" s="27">
        <v>38.6</v>
      </c>
      <c r="F674" s="27"/>
      <c r="G674" s="27">
        <f t="shared" si="14"/>
        <v>38.6</v>
      </c>
      <c r="H674" s="325" t="s">
        <v>445</v>
      </c>
    </row>
    <row r="675" spans="2:8" ht="16.2">
      <c r="B675" s="293">
        <v>44916</v>
      </c>
      <c r="C675" s="358">
        <v>595</v>
      </c>
      <c r="D675" s="358">
        <v>598</v>
      </c>
      <c r="E675" s="27">
        <v>73.55</v>
      </c>
      <c r="F675" s="27"/>
      <c r="G675" s="27">
        <f t="shared" si="14"/>
        <v>73.55</v>
      </c>
      <c r="H675" s="325" t="s">
        <v>445</v>
      </c>
    </row>
    <row r="676" spans="2:8" ht="16.2">
      <c r="B676" s="293">
        <v>44918</v>
      </c>
      <c r="C676" s="358">
        <v>599</v>
      </c>
      <c r="D676" s="358">
        <v>603</v>
      </c>
      <c r="E676" s="27">
        <v>315.85000000000002</v>
      </c>
      <c r="F676" s="27"/>
      <c r="G676" s="27">
        <f t="shared" si="14"/>
        <v>315.85000000000002</v>
      </c>
      <c r="H676" s="325" t="s">
        <v>445</v>
      </c>
    </row>
    <row r="677" spans="2:8" ht="16.2">
      <c r="B677" s="370">
        <v>44919</v>
      </c>
      <c r="C677" s="373">
        <v>604</v>
      </c>
      <c r="D677" s="373">
        <v>605</v>
      </c>
      <c r="E677" s="371">
        <v>125.2</v>
      </c>
      <c r="F677" s="371"/>
      <c r="G677" s="371">
        <f t="shared" si="14"/>
        <v>125.2</v>
      </c>
      <c r="H677" s="372" t="s">
        <v>445</v>
      </c>
    </row>
    <row r="678" spans="2:8" ht="16.2">
      <c r="B678" s="370">
        <v>44923</v>
      </c>
      <c r="C678" s="373">
        <v>606</v>
      </c>
      <c r="D678" s="373">
        <v>608</v>
      </c>
      <c r="E678" s="371">
        <v>78.349999999999994</v>
      </c>
      <c r="F678" s="371"/>
      <c r="G678" s="371">
        <f t="shared" si="14"/>
        <v>78.349999999999994</v>
      </c>
      <c r="H678" s="372" t="s">
        <v>445</v>
      </c>
    </row>
    <row r="679" spans="2:8" ht="16.2">
      <c r="B679" s="370">
        <v>44924</v>
      </c>
      <c r="C679" s="373">
        <v>609</v>
      </c>
      <c r="D679" s="373">
        <v>610</v>
      </c>
      <c r="E679" s="371">
        <v>53.95</v>
      </c>
      <c r="F679" s="371"/>
      <c r="G679" s="371">
        <f t="shared" si="14"/>
        <v>53.95</v>
      </c>
      <c r="H679" s="372" t="s">
        <v>445</v>
      </c>
    </row>
    <row r="680" spans="2:8" ht="16.2">
      <c r="B680" s="370">
        <v>44925</v>
      </c>
      <c r="C680" s="373">
        <v>611</v>
      </c>
      <c r="D680" s="373">
        <v>614</v>
      </c>
      <c r="E680" s="371">
        <v>185.25</v>
      </c>
      <c r="F680" s="371"/>
      <c r="G680" s="371">
        <f t="shared" si="14"/>
        <v>185.25</v>
      </c>
      <c r="H680" s="372" t="s">
        <v>445</v>
      </c>
    </row>
    <row r="681" spans="2:8" ht="16.2">
      <c r="B681" s="222"/>
      <c r="C681" s="200"/>
      <c r="D681" s="200"/>
      <c r="E681" s="27"/>
      <c r="F681" s="27"/>
      <c r="G681" s="27"/>
      <c r="H681" s="1"/>
    </row>
    <row r="682" spans="2:8" ht="13.8">
      <c r="B682" s="119"/>
      <c r="C682" s="120" t="s">
        <v>10</v>
      </c>
      <c r="D682" s="121"/>
      <c r="E682" s="159">
        <f>SUM(E653:E681)</f>
        <v>4072.2499999999991</v>
      </c>
      <c r="F682" s="159">
        <f>SUM(F654:F658)</f>
        <v>0</v>
      </c>
      <c r="G682" s="159">
        <f>SUM(G653:G681)</f>
        <v>4072.2499999999991</v>
      </c>
      <c r="H682" s="122"/>
    </row>
    <row r="683" spans="2:8">
      <c r="G683" s="28"/>
    </row>
    <row r="684" spans="2:8" ht="17.399999999999999">
      <c r="B684" s="83"/>
      <c r="C684" s="90" t="s">
        <v>39</v>
      </c>
      <c r="D684" s="90"/>
      <c r="E684" s="90"/>
      <c r="F684" s="90"/>
      <c r="G684" s="153">
        <f>+E682/1.13</f>
        <v>3603.7610619469024</v>
      </c>
    </row>
    <row r="685" spans="2:8" ht="18" thickBot="1">
      <c r="B685" s="83"/>
      <c r="C685" s="92" t="s">
        <v>40</v>
      </c>
      <c r="D685" s="90" t="s">
        <v>41</v>
      </c>
      <c r="E685" s="90"/>
      <c r="F685" s="90"/>
      <c r="G685" s="154">
        <f>+G684*0.13</f>
        <v>468.48893805309734</v>
      </c>
      <c r="H685" s="29"/>
    </row>
    <row r="686" spans="2:8" ht="18" thickTop="1">
      <c r="B686" s="83"/>
      <c r="C686" s="90"/>
      <c r="D686" s="90" t="s">
        <v>6</v>
      </c>
      <c r="E686" s="90"/>
      <c r="F686" s="90"/>
      <c r="G686" s="153">
        <f>SUM(G684:G685)</f>
        <v>4072.2499999999995</v>
      </c>
    </row>
    <row r="687" spans="2:8" ht="15.6">
      <c r="B687" s="83"/>
      <c r="C687" s="83"/>
      <c r="E687" s="83"/>
      <c r="F687" s="83"/>
      <c r="G687" s="83"/>
      <c r="H687" s="29"/>
    </row>
    <row r="688" spans="2:8" ht="16.2" thickBot="1">
      <c r="B688" s="91" t="s">
        <v>11</v>
      </c>
      <c r="C688" s="91"/>
      <c r="D688" s="83"/>
      <c r="E688" s="83"/>
      <c r="F688" s="83"/>
      <c r="G688" s="104"/>
    </row>
    <row r="689" spans="2:8" ht="17.399999999999999">
      <c r="B689" s="90" t="s">
        <v>84</v>
      </c>
      <c r="C689" s="83"/>
      <c r="D689" s="83"/>
      <c r="E689" s="83"/>
      <c r="F689" s="83"/>
      <c r="G689" s="83"/>
    </row>
    <row r="690" spans="2:8" ht="15.6">
      <c r="B690" s="83" t="s">
        <v>12</v>
      </c>
      <c r="C690" s="83"/>
      <c r="D690" s="83"/>
      <c r="E690" s="83"/>
      <c r="F690" s="83"/>
      <c r="G690" s="83"/>
    </row>
    <row r="698" spans="2:8" ht="15.6">
      <c r="B698" s="116"/>
      <c r="C698" s="117" t="s">
        <v>14</v>
      </c>
      <c r="D698" s="117"/>
      <c r="E698" s="117"/>
      <c r="F698" s="117" t="s">
        <v>79</v>
      </c>
      <c r="G698" s="117"/>
      <c r="H698" s="117"/>
    </row>
    <row r="699" spans="2:8" ht="15.6">
      <c r="B699" s="116"/>
      <c r="C699" s="117" t="s">
        <v>32</v>
      </c>
      <c r="D699" s="117"/>
      <c r="E699" s="117"/>
      <c r="F699" s="117" t="s">
        <v>80</v>
      </c>
      <c r="G699" s="117"/>
      <c r="H699" s="117"/>
    </row>
    <row r="700" spans="2:8" ht="19.2">
      <c r="B700" s="116" t="s">
        <v>16</v>
      </c>
      <c r="C700" s="356" t="s">
        <v>82</v>
      </c>
      <c r="D700" s="116" t="s">
        <v>33</v>
      </c>
      <c r="E700" s="202">
        <v>2023</v>
      </c>
      <c r="F700" s="117" t="s">
        <v>34</v>
      </c>
      <c r="G700" s="118" t="s">
        <v>78</v>
      </c>
      <c r="H700" s="116"/>
    </row>
    <row r="701" spans="2:8">
      <c r="B701" s="82"/>
      <c r="C701" s="82"/>
      <c r="D701" s="82"/>
      <c r="E701" s="82"/>
      <c r="F701" s="82"/>
      <c r="G701" s="82"/>
      <c r="H701" s="82"/>
    </row>
    <row r="702" spans="2:8">
      <c r="B702" s="126" t="s">
        <v>0</v>
      </c>
      <c r="C702" s="126" t="s">
        <v>35</v>
      </c>
      <c r="D702" s="126" t="s">
        <v>36</v>
      </c>
      <c r="E702" s="126" t="s">
        <v>37</v>
      </c>
      <c r="F702" s="126" t="s">
        <v>38</v>
      </c>
      <c r="G702" s="126" t="s">
        <v>38</v>
      </c>
      <c r="H702" s="126"/>
    </row>
    <row r="703" spans="2:8">
      <c r="B703" s="127"/>
      <c r="C703" s="127"/>
      <c r="D703" s="127"/>
      <c r="E703" s="127" t="s">
        <v>5</v>
      </c>
      <c r="F703" s="127" t="s">
        <v>4</v>
      </c>
      <c r="G703" s="127" t="s">
        <v>10</v>
      </c>
      <c r="H703" s="127"/>
    </row>
    <row r="704" spans="2:8" ht="16.2">
      <c r="B704" s="397">
        <v>44930</v>
      </c>
      <c r="C704" s="398">
        <v>1228</v>
      </c>
      <c r="D704" s="398">
        <v>1247</v>
      </c>
      <c r="E704" s="399">
        <v>217.25</v>
      </c>
      <c r="F704" s="399"/>
      <c r="G704" s="399">
        <f>E704+F704</f>
        <v>217.25</v>
      </c>
      <c r="H704" s="400" t="s">
        <v>444</v>
      </c>
    </row>
    <row r="705" spans="2:8" ht="16.2">
      <c r="B705" s="397">
        <v>44932</v>
      </c>
      <c r="C705" s="398">
        <v>1248</v>
      </c>
      <c r="D705" s="398">
        <v>1290</v>
      </c>
      <c r="E705" s="399">
        <v>475</v>
      </c>
      <c r="F705" s="399"/>
      <c r="G705" s="399">
        <f>E705+F705</f>
        <v>475</v>
      </c>
      <c r="H705" s="400" t="s">
        <v>444</v>
      </c>
    </row>
    <row r="706" spans="2:8" ht="16.2">
      <c r="B706" s="397">
        <v>44937</v>
      </c>
      <c r="C706" s="398">
        <v>1291</v>
      </c>
      <c r="D706" s="398">
        <v>1314</v>
      </c>
      <c r="E706" s="399">
        <v>267.75</v>
      </c>
      <c r="F706" s="399"/>
      <c r="G706" s="399">
        <f t="shared" ref="G706:G728" si="15">E706+F706</f>
        <v>267.75</v>
      </c>
      <c r="H706" s="400" t="s">
        <v>444</v>
      </c>
    </row>
    <row r="707" spans="2:8" ht="16.2">
      <c r="B707" s="397">
        <v>44939</v>
      </c>
      <c r="C707" s="398">
        <v>1315</v>
      </c>
      <c r="D707" s="398">
        <v>1350</v>
      </c>
      <c r="E707" s="399">
        <v>414.75</v>
      </c>
      <c r="F707" s="399"/>
      <c r="G707" s="399">
        <f t="shared" si="15"/>
        <v>414.75</v>
      </c>
      <c r="H707" s="400" t="s">
        <v>444</v>
      </c>
    </row>
    <row r="708" spans="2:8" ht="16.2">
      <c r="B708" s="397">
        <v>44944</v>
      </c>
      <c r="C708" s="398">
        <v>1351</v>
      </c>
      <c r="D708" s="398">
        <v>1379</v>
      </c>
      <c r="E708" s="399">
        <v>301</v>
      </c>
      <c r="F708" s="399"/>
      <c r="G708" s="399">
        <f t="shared" si="15"/>
        <v>301</v>
      </c>
      <c r="H708" s="400" t="s">
        <v>444</v>
      </c>
    </row>
    <row r="709" spans="2:8" ht="16.2">
      <c r="B709" s="397">
        <v>44946</v>
      </c>
      <c r="C709" s="398">
        <v>1380</v>
      </c>
      <c r="D709" s="398">
        <v>1420</v>
      </c>
      <c r="E709" s="399">
        <v>445</v>
      </c>
      <c r="F709" s="399"/>
      <c r="G709" s="399">
        <f t="shared" si="15"/>
        <v>445</v>
      </c>
      <c r="H709" s="400" t="s">
        <v>444</v>
      </c>
    </row>
    <row r="710" spans="2:8" ht="16.2">
      <c r="B710" s="397">
        <v>44951</v>
      </c>
      <c r="C710" s="398">
        <v>1421</v>
      </c>
      <c r="D710" s="398">
        <v>1452</v>
      </c>
      <c r="E710" s="399">
        <v>355.25</v>
      </c>
      <c r="F710" s="399"/>
      <c r="G710" s="399">
        <f t="shared" si="15"/>
        <v>355.25</v>
      </c>
      <c r="H710" s="400" t="s">
        <v>444</v>
      </c>
    </row>
    <row r="711" spans="2:8" ht="16.2">
      <c r="B711" s="397">
        <v>44953</v>
      </c>
      <c r="C711" s="398">
        <v>1453</v>
      </c>
      <c r="D711" s="398">
        <v>1480</v>
      </c>
      <c r="E711" s="399">
        <v>312</v>
      </c>
      <c r="F711" s="399"/>
      <c r="G711" s="399">
        <f t="shared" si="15"/>
        <v>312</v>
      </c>
      <c r="H711" s="400" t="s">
        <v>444</v>
      </c>
    </row>
    <row r="712" spans="2:8" ht="16.2">
      <c r="B712" s="396">
        <v>44929</v>
      </c>
      <c r="C712" s="358">
        <v>615</v>
      </c>
      <c r="D712" s="358">
        <v>616</v>
      </c>
      <c r="E712" s="27">
        <v>15.1</v>
      </c>
      <c r="F712" s="27"/>
      <c r="G712" s="27">
        <f t="shared" si="15"/>
        <v>15.1</v>
      </c>
      <c r="H712" s="325" t="s">
        <v>445</v>
      </c>
    </row>
    <row r="713" spans="2:8" ht="16.2">
      <c r="B713" s="396">
        <v>44930</v>
      </c>
      <c r="C713" s="358">
        <v>617</v>
      </c>
      <c r="D713" s="358">
        <v>618</v>
      </c>
      <c r="E713" s="27">
        <v>25</v>
      </c>
      <c r="F713" s="27"/>
      <c r="G713" s="27">
        <f t="shared" si="15"/>
        <v>25</v>
      </c>
      <c r="H713" s="325" t="s">
        <v>445</v>
      </c>
    </row>
    <row r="714" spans="2:8" ht="16.2">
      <c r="B714" s="396">
        <v>44931</v>
      </c>
      <c r="C714" s="358">
        <v>619</v>
      </c>
      <c r="D714" s="358">
        <v>621</v>
      </c>
      <c r="E714" s="27">
        <v>27</v>
      </c>
      <c r="F714" s="27"/>
      <c r="G714" s="27">
        <f t="shared" si="15"/>
        <v>27</v>
      </c>
      <c r="H714" s="325" t="s">
        <v>445</v>
      </c>
    </row>
    <row r="715" spans="2:8" ht="16.2">
      <c r="B715" s="396">
        <v>44932</v>
      </c>
      <c r="C715" s="358">
        <v>622</v>
      </c>
      <c r="D715" s="358">
        <v>624</v>
      </c>
      <c r="E715" s="27">
        <v>42.8</v>
      </c>
      <c r="F715" s="27"/>
      <c r="G715" s="27">
        <f t="shared" si="15"/>
        <v>42.8</v>
      </c>
      <c r="H715" s="325" t="s">
        <v>445</v>
      </c>
    </row>
    <row r="716" spans="2:8" ht="16.2">
      <c r="B716" s="396">
        <v>44933</v>
      </c>
      <c r="C716" s="358">
        <v>625</v>
      </c>
      <c r="D716" s="358">
        <v>626</v>
      </c>
      <c r="E716" s="27">
        <v>84.9</v>
      </c>
      <c r="F716" s="27"/>
      <c r="G716" s="27">
        <f t="shared" si="15"/>
        <v>84.9</v>
      </c>
      <c r="H716" s="325" t="s">
        <v>445</v>
      </c>
    </row>
    <row r="717" spans="2:8" ht="16.2">
      <c r="B717" s="396">
        <v>44934</v>
      </c>
      <c r="C717" s="358">
        <v>627</v>
      </c>
      <c r="D717" s="358">
        <v>628</v>
      </c>
      <c r="E717" s="27">
        <v>32.4</v>
      </c>
      <c r="F717" s="27"/>
      <c r="G717" s="27">
        <f t="shared" si="15"/>
        <v>32.4</v>
      </c>
      <c r="H717" s="325" t="s">
        <v>445</v>
      </c>
    </row>
    <row r="718" spans="2:8" ht="16.2">
      <c r="B718" s="396">
        <v>44935</v>
      </c>
      <c r="C718" s="358">
        <v>629</v>
      </c>
      <c r="D718" s="358">
        <v>630</v>
      </c>
      <c r="E718" s="27">
        <v>23.6</v>
      </c>
      <c r="F718" s="27"/>
      <c r="G718" s="27">
        <f t="shared" si="15"/>
        <v>23.6</v>
      </c>
      <c r="H718" s="325" t="s">
        <v>445</v>
      </c>
    </row>
    <row r="719" spans="2:8" ht="16.2">
      <c r="B719" s="396">
        <v>44936</v>
      </c>
      <c r="C719" s="358">
        <v>631</v>
      </c>
      <c r="D719" s="358">
        <v>634</v>
      </c>
      <c r="E719" s="27">
        <v>45.5</v>
      </c>
      <c r="F719" s="27"/>
      <c r="G719" s="27">
        <f t="shared" si="15"/>
        <v>45.5</v>
      </c>
      <c r="H719" s="325" t="s">
        <v>445</v>
      </c>
    </row>
    <row r="720" spans="2:8" ht="16.2">
      <c r="B720" s="396">
        <v>44938</v>
      </c>
      <c r="C720" s="358">
        <v>635</v>
      </c>
      <c r="D720" s="358">
        <v>638</v>
      </c>
      <c r="E720" s="27">
        <v>57.4</v>
      </c>
      <c r="F720" s="27"/>
      <c r="G720" s="27">
        <f t="shared" si="15"/>
        <v>57.4</v>
      </c>
      <c r="H720" s="325" t="s">
        <v>445</v>
      </c>
    </row>
    <row r="721" spans="2:8" ht="16.2">
      <c r="B721" s="396">
        <v>44940</v>
      </c>
      <c r="C721" s="358">
        <v>639</v>
      </c>
      <c r="D721" s="358">
        <v>644</v>
      </c>
      <c r="E721" s="27">
        <v>155.1</v>
      </c>
      <c r="F721" s="27"/>
      <c r="G721" s="27">
        <f t="shared" si="15"/>
        <v>155.1</v>
      </c>
      <c r="H721" s="325" t="s">
        <v>445</v>
      </c>
    </row>
    <row r="722" spans="2:8" ht="16.2">
      <c r="B722" s="396">
        <v>44943</v>
      </c>
      <c r="C722" s="358">
        <v>645</v>
      </c>
      <c r="D722" s="358">
        <v>650</v>
      </c>
      <c r="E722" s="27">
        <v>103.95</v>
      </c>
      <c r="F722" s="27"/>
      <c r="G722" s="27">
        <f t="shared" si="15"/>
        <v>103.95</v>
      </c>
      <c r="H722" s="325" t="s">
        <v>445</v>
      </c>
    </row>
    <row r="723" spans="2:8" ht="16.2">
      <c r="B723" s="396">
        <v>44946</v>
      </c>
      <c r="C723" s="358">
        <v>651</v>
      </c>
      <c r="D723" s="358">
        <v>656</v>
      </c>
      <c r="E723" s="27">
        <v>174.05</v>
      </c>
      <c r="F723" s="27"/>
      <c r="G723" s="27">
        <f t="shared" si="15"/>
        <v>174.05</v>
      </c>
      <c r="H723" s="325" t="s">
        <v>445</v>
      </c>
    </row>
    <row r="724" spans="2:8" ht="16.2">
      <c r="B724" s="396">
        <v>44949</v>
      </c>
      <c r="C724" s="358">
        <v>657</v>
      </c>
      <c r="D724" s="358">
        <v>660</v>
      </c>
      <c r="E724" s="27">
        <v>41.15</v>
      </c>
      <c r="F724" s="27"/>
      <c r="G724" s="27">
        <f t="shared" si="15"/>
        <v>41.15</v>
      </c>
      <c r="H724" s="325" t="s">
        <v>445</v>
      </c>
    </row>
    <row r="725" spans="2:8" ht="16.2">
      <c r="B725" s="396">
        <v>44951</v>
      </c>
      <c r="C725" s="358">
        <v>661</v>
      </c>
      <c r="D725" s="358">
        <v>665</v>
      </c>
      <c r="E725" s="27">
        <v>58</v>
      </c>
      <c r="F725" s="27"/>
      <c r="G725" s="27">
        <f t="shared" si="15"/>
        <v>58</v>
      </c>
      <c r="H725" s="325" t="s">
        <v>445</v>
      </c>
    </row>
    <row r="726" spans="2:8" ht="16.2">
      <c r="B726" s="396">
        <v>44953</v>
      </c>
      <c r="C726" s="358">
        <v>666</v>
      </c>
      <c r="D726" s="358">
        <v>667</v>
      </c>
      <c r="E726" s="27">
        <v>56.25</v>
      </c>
      <c r="F726" s="27"/>
      <c r="G726" s="27">
        <f t="shared" si="15"/>
        <v>56.25</v>
      </c>
      <c r="H726" s="325" t="s">
        <v>445</v>
      </c>
    </row>
    <row r="727" spans="2:8" ht="16.2">
      <c r="B727" s="396">
        <v>44954</v>
      </c>
      <c r="C727" s="358">
        <v>668</v>
      </c>
      <c r="D727" s="358">
        <v>672</v>
      </c>
      <c r="E727" s="27">
        <v>119.45</v>
      </c>
      <c r="F727" s="27"/>
      <c r="G727" s="27">
        <f t="shared" si="15"/>
        <v>119.45</v>
      </c>
      <c r="H727" s="325" t="s">
        <v>445</v>
      </c>
    </row>
    <row r="728" spans="2:8" ht="16.2">
      <c r="B728" s="396">
        <v>44956</v>
      </c>
      <c r="C728" s="358">
        <v>673</v>
      </c>
      <c r="D728" s="358">
        <v>676</v>
      </c>
      <c r="E728" s="27">
        <v>30.35</v>
      </c>
      <c r="F728" s="27"/>
      <c r="G728" s="27">
        <f t="shared" si="15"/>
        <v>30.35</v>
      </c>
      <c r="H728" s="325" t="s">
        <v>445</v>
      </c>
    </row>
    <row r="729" spans="2:8" ht="16.2">
      <c r="B729" s="222"/>
      <c r="C729" s="200"/>
      <c r="D729" s="200"/>
      <c r="E729" s="27"/>
      <c r="F729" s="27"/>
      <c r="G729" s="27"/>
      <c r="H729" s="1"/>
    </row>
    <row r="730" spans="2:8" ht="13.8">
      <c r="B730" s="119"/>
      <c r="C730" s="120" t="s">
        <v>10</v>
      </c>
      <c r="D730" s="121"/>
      <c r="E730" s="159">
        <f>SUM(E704:E729)</f>
        <v>3880</v>
      </c>
      <c r="F730" s="159">
        <f>SUM(F705:F709)</f>
        <v>0</v>
      </c>
      <c r="G730" s="159">
        <f>SUM(G704:G729)</f>
        <v>3880</v>
      </c>
      <c r="H730" s="122"/>
    </row>
    <row r="731" spans="2:8">
      <c r="G731" s="28"/>
    </row>
    <row r="732" spans="2:8" ht="17.399999999999999">
      <c r="B732" s="83"/>
      <c r="C732" s="90" t="s">
        <v>39</v>
      </c>
      <c r="D732" s="90"/>
      <c r="E732" s="90"/>
      <c r="F732" s="90"/>
      <c r="G732" s="153">
        <f>+E730/1.13</f>
        <v>3433.6283185840712</v>
      </c>
    </row>
    <row r="733" spans="2:8" ht="18" thickBot="1">
      <c r="B733" s="83"/>
      <c r="C733" s="92" t="s">
        <v>40</v>
      </c>
      <c r="D733" s="90" t="s">
        <v>41</v>
      </c>
      <c r="E733" s="90"/>
      <c r="F733" s="90"/>
      <c r="G733" s="154">
        <f>+G732*0.13</f>
        <v>446.37168141592929</v>
      </c>
      <c r="H733" s="29"/>
    </row>
    <row r="734" spans="2:8" ht="18" thickTop="1">
      <c r="B734" s="83"/>
      <c r="C734" s="90"/>
      <c r="D734" s="90" t="s">
        <v>6</v>
      </c>
      <c r="E734" s="90"/>
      <c r="F734" s="90"/>
      <c r="G734" s="153">
        <f>SUM(G732:G733)</f>
        <v>3880.0000000000005</v>
      </c>
    </row>
    <row r="735" spans="2:8" ht="15.6">
      <c r="B735" s="83"/>
      <c r="C735" s="83"/>
      <c r="E735" s="83"/>
      <c r="F735" s="83"/>
      <c r="G735" s="83"/>
      <c r="H735" s="29"/>
    </row>
    <row r="736" spans="2:8" ht="16.2" thickBot="1">
      <c r="B736" s="91" t="s">
        <v>11</v>
      </c>
      <c r="C736" s="91"/>
      <c r="D736" s="83"/>
      <c r="E736" s="83"/>
      <c r="F736" s="83"/>
      <c r="G736" s="104"/>
    </row>
    <row r="737" spans="2:7" ht="17.399999999999999">
      <c r="B737" s="90" t="s">
        <v>84</v>
      </c>
      <c r="C737" s="83"/>
      <c r="D737" s="83"/>
      <c r="E737" s="83"/>
      <c r="F737" s="83"/>
      <c r="G737" s="83"/>
    </row>
    <row r="738" spans="2:7" ht="15.6">
      <c r="B738" s="83" t="s">
        <v>12</v>
      </c>
      <c r="C738" s="83"/>
      <c r="D738" s="83"/>
      <c r="E738" s="83"/>
      <c r="F738" s="83"/>
      <c r="G738" s="83"/>
    </row>
  </sheetData>
  <phoneticPr fontId="0" type="noConversion"/>
  <dataValidations count="1">
    <dataValidation errorStyle="warning" operator="greaterThanOrEqual" allowBlank="1" showInputMessage="1" showErrorMessage="1" errorTitle="Error " error="Dato invalido, revise los comentarios de la columna para saber que información va en esta columna" sqref="B9:B44 B74:B108 B133:B168 B198:B232 B260:B284 B308:B346 B372:B409 B435:B467 B496:B528 B553:B584 B607:B631 B653:B681 B704:B729" xr:uid="{00000000-0002-0000-0200-000000000000}"/>
  </dataValidations>
  <pageMargins left="0.74803149606299213" right="0.74803149606299213" top="0.98425196850393704" bottom="0.98425196850393704" header="0" footer="0"/>
  <pageSetup scale="85"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AB70-DAF2-4993-8C9A-A04F53627BD6}">
  <sheetPr>
    <tabColor rgb="FF92D050"/>
  </sheetPr>
  <dimension ref="A1:C294"/>
  <sheetViews>
    <sheetView topLeftCell="A98" workbookViewId="0">
      <selection activeCell="C295" sqref="C295"/>
    </sheetView>
  </sheetViews>
  <sheetFormatPr baseColWidth="10" defaultRowHeight="13.2"/>
  <sheetData>
    <row r="1" spans="1:3">
      <c r="A1" s="179">
        <v>44958</v>
      </c>
      <c r="B1">
        <v>1481</v>
      </c>
      <c r="C1" s="316">
        <v>12</v>
      </c>
    </row>
    <row r="2" spans="1:3">
      <c r="A2" s="179">
        <v>44958</v>
      </c>
      <c r="B2">
        <v>1482</v>
      </c>
      <c r="C2" s="316">
        <v>11.5</v>
      </c>
    </row>
    <row r="3" spans="1:3">
      <c r="A3" s="179">
        <v>44958</v>
      </c>
      <c r="B3">
        <v>1483</v>
      </c>
      <c r="C3" s="316">
        <v>12</v>
      </c>
    </row>
    <row r="4" spans="1:3">
      <c r="A4" s="179">
        <v>44958</v>
      </c>
      <c r="B4">
        <v>1484</v>
      </c>
      <c r="C4" s="316">
        <v>12</v>
      </c>
    </row>
    <row r="5" spans="1:3">
      <c r="A5" s="179">
        <v>44958</v>
      </c>
      <c r="B5">
        <v>1485</v>
      </c>
      <c r="C5" s="316">
        <v>12</v>
      </c>
    </row>
    <row r="6" spans="1:3">
      <c r="A6" s="179">
        <v>44958</v>
      </c>
      <c r="B6">
        <v>1486</v>
      </c>
      <c r="C6" s="316">
        <v>8.5</v>
      </c>
    </row>
    <row r="7" spans="1:3">
      <c r="A7" s="179">
        <v>44958</v>
      </c>
      <c r="B7">
        <v>1487</v>
      </c>
      <c r="C7" s="316">
        <v>7.5</v>
      </c>
    </row>
    <row r="8" spans="1:3">
      <c r="A8" s="179">
        <v>44958</v>
      </c>
      <c r="B8">
        <v>1488</v>
      </c>
      <c r="C8" s="316">
        <v>12</v>
      </c>
    </row>
    <row r="9" spans="1:3">
      <c r="A9" s="179">
        <v>44958</v>
      </c>
      <c r="B9">
        <v>1489</v>
      </c>
      <c r="C9" s="316">
        <v>12</v>
      </c>
    </row>
    <row r="10" spans="1:3">
      <c r="A10" s="179">
        <v>44958</v>
      </c>
      <c r="B10">
        <v>1490</v>
      </c>
      <c r="C10" s="316">
        <v>10.75</v>
      </c>
    </row>
    <row r="11" spans="1:3">
      <c r="A11" s="179">
        <v>44958</v>
      </c>
      <c r="B11">
        <v>1491</v>
      </c>
      <c r="C11" s="316">
        <v>9</v>
      </c>
    </row>
    <row r="12" spans="1:3">
      <c r="A12" s="179">
        <v>44958</v>
      </c>
      <c r="B12">
        <v>1492</v>
      </c>
      <c r="C12" s="316">
        <v>8.5</v>
      </c>
    </row>
    <row r="13" spans="1:3">
      <c r="A13" s="179">
        <v>44958</v>
      </c>
      <c r="B13">
        <v>1493</v>
      </c>
      <c r="C13" s="316">
        <v>10.5</v>
      </c>
    </row>
    <row r="14" spans="1:3">
      <c r="A14" s="179">
        <v>44958</v>
      </c>
      <c r="B14">
        <v>1494</v>
      </c>
      <c r="C14" s="316">
        <v>10</v>
      </c>
    </row>
    <row r="15" spans="1:3">
      <c r="A15" s="179">
        <v>44958</v>
      </c>
      <c r="B15">
        <v>1495</v>
      </c>
      <c r="C15" s="316">
        <v>10</v>
      </c>
    </row>
    <row r="16" spans="1:3">
      <c r="A16" s="179">
        <v>44958</v>
      </c>
      <c r="B16">
        <v>1496</v>
      </c>
      <c r="C16" s="316">
        <v>9.5</v>
      </c>
    </row>
    <row r="17" spans="1:3">
      <c r="A17" s="179">
        <v>44958</v>
      </c>
      <c r="B17">
        <v>1497</v>
      </c>
      <c r="C17" s="316">
        <v>10.5</v>
      </c>
    </row>
    <row r="18" spans="1:3">
      <c r="A18" s="179">
        <v>44958</v>
      </c>
      <c r="B18">
        <v>1498</v>
      </c>
      <c r="C18" s="316">
        <v>15.25</v>
      </c>
    </row>
    <row r="19" spans="1:3">
      <c r="A19" s="179">
        <v>44958</v>
      </c>
      <c r="B19">
        <v>1499</v>
      </c>
      <c r="C19" s="316">
        <v>11.5</v>
      </c>
    </row>
    <row r="20" spans="1:3">
      <c r="A20" s="179">
        <v>44958</v>
      </c>
      <c r="B20">
        <v>1500</v>
      </c>
      <c r="C20" s="316">
        <v>13</v>
      </c>
    </row>
    <row r="22" spans="1:3">
      <c r="A22" s="179">
        <v>44958</v>
      </c>
      <c r="B22">
        <v>1</v>
      </c>
      <c r="C22" s="316">
        <v>12</v>
      </c>
    </row>
    <row r="23" spans="1:3">
      <c r="A23" s="179">
        <v>44958</v>
      </c>
      <c r="B23">
        <v>2</v>
      </c>
      <c r="C23" s="316">
        <v>13.25</v>
      </c>
    </row>
    <row r="24" spans="1:3">
      <c r="A24" s="179">
        <v>44958</v>
      </c>
      <c r="B24">
        <v>3</v>
      </c>
      <c r="C24" s="316">
        <v>10</v>
      </c>
    </row>
    <row r="25" spans="1:3">
      <c r="A25" s="179">
        <v>44958</v>
      </c>
      <c r="B25">
        <v>4</v>
      </c>
      <c r="C25" s="316">
        <v>11</v>
      </c>
    </row>
    <row r="26" spans="1:3">
      <c r="A26" s="179">
        <v>44958</v>
      </c>
      <c r="B26">
        <v>5</v>
      </c>
      <c r="C26" s="316">
        <v>12.5</v>
      </c>
    </row>
    <row r="27" spans="1:3">
      <c r="A27" s="179">
        <v>44958</v>
      </c>
      <c r="B27">
        <v>6</v>
      </c>
      <c r="C27" s="316">
        <v>10</v>
      </c>
    </row>
    <row r="28" spans="1:3">
      <c r="A28" s="179">
        <v>44958</v>
      </c>
      <c r="B28">
        <v>7</v>
      </c>
      <c r="C28" s="316">
        <v>9.5</v>
      </c>
    </row>
    <row r="29" spans="1:3">
      <c r="A29" s="179">
        <v>44958</v>
      </c>
      <c r="B29">
        <v>8</v>
      </c>
      <c r="C29" s="316">
        <v>14.5</v>
      </c>
    </row>
    <row r="30" spans="1:3">
      <c r="A30" s="179">
        <v>44958</v>
      </c>
      <c r="B30">
        <v>9</v>
      </c>
      <c r="C30" s="316">
        <v>11</v>
      </c>
    </row>
    <row r="31" spans="1:3">
      <c r="A31" s="179">
        <v>44958</v>
      </c>
      <c r="B31">
        <v>10</v>
      </c>
      <c r="C31" s="316">
        <v>11.75</v>
      </c>
    </row>
    <row r="32" spans="1:3">
      <c r="A32" s="179">
        <v>44958</v>
      </c>
      <c r="B32">
        <v>11</v>
      </c>
      <c r="C32" s="316">
        <v>12</v>
      </c>
    </row>
    <row r="33" spans="1:3">
      <c r="A33" s="179">
        <v>44958</v>
      </c>
      <c r="B33">
        <v>12</v>
      </c>
      <c r="C33" s="316">
        <v>10</v>
      </c>
    </row>
    <row r="34" spans="1:3">
      <c r="A34" s="179">
        <v>44958</v>
      </c>
      <c r="B34">
        <v>13</v>
      </c>
      <c r="C34" s="316">
        <v>12.75</v>
      </c>
    </row>
    <row r="35" spans="1:3">
      <c r="A35" s="179">
        <v>44958</v>
      </c>
      <c r="B35">
        <v>14</v>
      </c>
      <c r="C35" s="316">
        <v>12</v>
      </c>
    </row>
    <row r="36" spans="1:3">
      <c r="A36" s="179">
        <v>44958</v>
      </c>
      <c r="B36">
        <v>15</v>
      </c>
      <c r="C36" s="316">
        <v>11</v>
      </c>
    </row>
    <row r="37" spans="1:3">
      <c r="A37" s="179">
        <v>44958</v>
      </c>
      <c r="B37">
        <v>16</v>
      </c>
      <c r="C37" s="316">
        <v>11.75</v>
      </c>
    </row>
    <row r="38" spans="1:3">
      <c r="A38" s="179">
        <v>44958</v>
      </c>
      <c r="B38">
        <v>17</v>
      </c>
      <c r="C38" s="316">
        <v>11.5</v>
      </c>
    </row>
    <row r="39" spans="1:3">
      <c r="A39" s="179">
        <v>44960</v>
      </c>
      <c r="B39">
        <v>18</v>
      </c>
      <c r="C39" s="316">
        <v>12.75</v>
      </c>
    </row>
    <row r="40" spans="1:3">
      <c r="A40" s="179">
        <v>44960</v>
      </c>
      <c r="B40">
        <v>19</v>
      </c>
      <c r="C40" s="316">
        <v>13</v>
      </c>
    </row>
    <row r="41" spans="1:3">
      <c r="A41" s="179">
        <v>44960</v>
      </c>
      <c r="B41">
        <v>20</v>
      </c>
      <c r="C41" s="316">
        <v>12.75</v>
      </c>
    </row>
    <row r="42" spans="1:3">
      <c r="A42" s="179">
        <v>44960</v>
      </c>
      <c r="B42">
        <v>21</v>
      </c>
      <c r="C42" s="316">
        <v>13</v>
      </c>
    </row>
    <row r="43" spans="1:3">
      <c r="A43" s="179">
        <v>44960</v>
      </c>
      <c r="B43">
        <v>22</v>
      </c>
      <c r="C43" s="316">
        <v>10.25</v>
      </c>
    </row>
    <row r="44" spans="1:3">
      <c r="A44" s="179">
        <v>44960</v>
      </c>
      <c r="B44">
        <v>23</v>
      </c>
      <c r="C44" s="316">
        <v>10</v>
      </c>
    </row>
    <row r="45" spans="1:3">
      <c r="A45" s="179">
        <v>44960</v>
      </c>
      <c r="B45">
        <v>24</v>
      </c>
      <c r="C45" s="316">
        <v>10</v>
      </c>
    </row>
    <row r="46" spans="1:3">
      <c r="A46" s="179">
        <v>44960</v>
      </c>
      <c r="B46">
        <v>25</v>
      </c>
      <c r="C46" s="316">
        <v>10.75</v>
      </c>
    </row>
    <row r="47" spans="1:3">
      <c r="A47" s="179">
        <v>44960</v>
      </c>
      <c r="B47">
        <v>26</v>
      </c>
      <c r="C47" s="316">
        <v>11</v>
      </c>
    </row>
    <row r="48" spans="1:3">
      <c r="A48" s="179">
        <v>44960</v>
      </c>
      <c r="B48">
        <v>27</v>
      </c>
      <c r="C48" s="316">
        <v>11</v>
      </c>
    </row>
    <row r="49" spans="1:3">
      <c r="A49" s="179">
        <v>44960</v>
      </c>
      <c r="B49">
        <v>28</v>
      </c>
      <c r="C49" s="316">
        <v>11</v>
      </c>
    </row>
    <row r="50" spans="1:3">
      <c r="A50" s="179">
        <v>44960</v>
      </c>
      <c r="B50">
        <v>29</v>
      </c>
      <c r="C50" s="316">
        <v>11</v>
      </c>
    </row>
    <row r="51" spans="1:3">
      <c r="A51" s="179">
        <v>44960</v>
      </c>
      <c r="B51">
        <v>30</v>
      </c>
      <c r="C51" s="316">
        <v>10</v>
      </c>
    </row>
    <row r="52" spans="1:3">
      <c r="A52" s="179">
        <v>44960</v>
      </c>
      <c r="B52">
        <v>31</v>
      </c>
      <c r="C52" s="316">
        <v>11</v>
      </c>
    </row>
    <row r="53" spans="1:3">
      <c r="A53" s="179">
        <v>44960</v>
      </c>
      <c r="B53">
        <v>32</v>
      </c>
      <c r="C53" s="316">
        <v>12</v>
      </c>
    </row>
    <row r="54" spans="1:3">
      <c r="A54" s="179">
        <v>44960</v>
      </c>
      <c r="B54">
        <v>33</v>
      </c>
      <c r="C54" s="316">
        <v>12</v>
      </c>
    </row>
    <row r="55" spans="1:3">
      <c r="A55" s="179">
        <v>44960</v>
      </c>
      <c r="B55">
        <v>34</v>
      </c>
      <c r="C55" s="316">
        <v>9.75</v>
      </c>
    </row>
    <row r="56" spans="1:3">
      <c r="A56" s="179">
        <v>44960</v>
      </c>
      <c r="B56">
        <v>35</v>
      </c>
      <c r="C56" s="316">
        <v>10</v>
      </c>
    </row>
    <row r="57" spans="1:3">
      <c r="A57" s="179">
        <v>44960</v>
      </c>
      <c r="B57">
        <v>36</v>
      </c>
      <c r="C57" s="316">
        <v>12</v>
      </c>
    </row>
    <row r="58" spans="1:3">
      <c r="A58" s="179">
        <v>44960</v>
      </c>
      <c r="B58">
        <v>37</v>
      </c>
      <c r="C58" s="316">
        <v>13</v>
      </c>
    </row>
    <row r="59" spans="1:3">
      <c r="A59" s="179">
        <v>44960</v>
      </c>
      <c r="B59">
        <v>38</v>
      </c>
      <c r="C59" s="316">
        <v>12</v>
      </c>
    </row>
    <row r="60" spans="1:3">
      <c r="A60" s="179">
        <v>44960</v>
      </c>
      <c r="B60">
        <v>39</v>
      </c>
      <c r="C60" s="316">
        <v>12</v>
      </c>
    </row>
    <row r="61" spans="1:3">
      <c r="A61" s="179">
        <v>44960</v>
      </c>
      <c r="B61">
        <v>40</v>
      </c>
      <c r="C61" s="316">
        <v>10.25</v>
      </c>
    </row>
    <row r="62" spans="1:3">
      <c r="A62" s="179">
        <v>44960</v>
      </c>
      <c r="B62">
        <v>41</v>
      </c>
      <c r="C62" s="316">
        <v>10</v>
      </c>
    </row>
    <row r="63" spans="1:3">
      <c r="A63" s="179">
        <v>44960</v>
      </c>
      <c r="B63">
        <v>42</v>
      </c>
      <c r="C63" s="316">
        <v>10</v>
      </c>
    </row>
    <row r="64" spans="1:3">
      <c r="A64" s="179">
        <v>44960</v>
      </c>
      <c r="B64">
        <v>43</v>
      </c>
      <c r="C64" s="316">
        <v>11.25</v>
      </c>
    </row>
    <row r="65" spans="1:3">
      <c r="A65" s="179">
        <v>44960</v>
      </c>
      <c r="B65">
        <v>44</v>
      </c>
      <c r="C65" s="316">
        <v>11</v>
      </c>
    </row>
    <row r="66" spans="1:3">
      <c r="A66" s="179">
        <v>44960</v>
      </c>
      <c r="B66">
        <v>45</v>
      </c>
      <c r="C66" s="316">
        <v>10.25</v>
      </c>
    </row>
    <row r="67" spans="1:3">
      <c r="A67" s="179">
        <v>44960</v>
      </c>
      <c r="B67">
        <v>46</v>
      </c>
      <c r="C67" s="316">
        <v>11</v>
      </c>
    </row>
    <row r="68" spans="1:3">
      <c r="A68" s="179">
        <v>44960</v>
      </c>
      <c r="B68">
        <v>47</v>
      </c>
      <c r="C68" s="316">
        <v>10</v>
      </c>
    </row>
    <row r="69" spans="1:3">
      <c r="A69" s="179">
        <v>44960</v>
      </c>
      <c r="B69">
        <v>48</v>
      </c>
      <c r="C69" s="316">
        <v>9.25</v>
      </c>
    </row>
    <row r="70" spans="1:3">
      <c r="A70" s="179">
        <v>44960</v>
      </c>
      <c r="B70">
        <v>49</v>
      </c>
      <c r="C70" s="316">
        <v>11</v>
      </c>
    </row>
    <row r="71" spans="1:3">
      <c r="A71" s="179">
        <v>44960</v>
      </c>
      <c r="B71">
        <v>50</v>
      </c>
      <c r="C71" s="316">
        <v>11</v>
      </c>
    </row>
    <row r="72" spans="1:3">
      <c r="A72" s="179">
        <v>44965</v>
      </c>
      <c r="B72">
        <v>51</v>
      </c>
      <c r="C72" s="316">
        <v>8.5</v>
      </c>
    </row>
    <row r="73" spans="1:3">
      <c r="A73" s="179">
        <v>44965</v>
      </c>
      <c r="B73">
        <v>52</v>
      </c>
      <c r="C73" s="316">
        <v>13.5</v>
      </c>
    </row>
    <row r="74" spans="1:3">
      <c r="A74" s="179">
        <v>44965</v>
      </c>
      <c r="B74">
        <v>53</v>
      </c>
      <c r="C74" s="316">
        <v>8.5</v>
      </c>
    </row>
    <row r="75" spans="1:3">
      <c r="A75" s="179">
        <v>44965</v>
      </c>
      <c r="B75">
        <v>54</v>
      </c>
      <c r="C75" s="316">
        <v>14</v>
      </c>
    </row>
    <row r="76" spans="1:3">
      <c r="A76" s="179">
        <v>44965</v>
      </c>
      <c r="B76">
        <v>55</v>
      </c>
      <c r="C76" s="316">
        <v>9</v>
      </c>
    </row>
    <row r="77" spans="1:3">
      <c r="A77" s="179">
        <v>44965</v>
      </c>
      <c r="B77">
        <v>56</v>
      </c>
      <c r="C77" s="316">
        <v>14.5</v>
      </c>
    </row>
    <row r="78" spans="1:3">
      <c r="A78" s="179">
        <v>44965</v>
      </c>
      <c r="B78">
        <v>57</v>
      </c>
      <c r="C78" s="316">
        <v>11.5</v>
      </c>
    </row>
    <row r="79" spans="1:3">
      <c r="A79" s="179">
        <v>44965</v>
      </c>
      <c r="B79">
        <v>58</v>
      </c>
      <c r="C79" s="316">
        <v>15</v>
      </c>
    </row>
    <row r="80" spans="1:3">
      <c r="A80" s="179">
        <v>44965</v>
      </c>
      <c r="B80">
        <v>59</v>
      </c>
      <c r="C80" s="316">
        <v>9.25</v>
      </c>
    </row>
    <row r="81" spans="1:3">
      <c r="A81" s="179">
        <v>44965</v>
      </c>
      <c r="B81">
        <v>60</v>
      </c>
      <c r="C81" s="316">
        <v>9</v>
      </c>
    </row>
    <row r="82" spans="1:3">
      <c r="A82" s="179">
        <v>44965</v>
      </c>
      <c r="B82">
        <v>61</v>
      </c>
      <c r="C82" s="316">
        <v>15.25</v>
      </c>
    </row>
    <row r="83" spans="1:3">
      <c r="A83" s="179">
        <v>44965</v>
      </c>
      <c r="B83">
        <v>62</v>
      </c>
      <c r="C83" s="316">
        <v>11.25</v>
      </c>
    </row>
    <row r="84" spans="1:3">
      <c r="A84" s="179">
        <v>44965</v>
      </c>
      <c r="B84">
        <v>63</v>
      </c>
      <c r="C84" s="316">
        <v>13.75</v>
      </c>
    </row>
    <row r="85" spans="1:3">
      <c r="A85" s="179">
        <v>44965</v>
      </c>
      <c r="B85">
        <v>64</v>
      </c>
      <c r="C85" s="316">
        <v>13</v>
      </c>
    </row>
    <row r="86" spans="1:3">
      <c r="A86" s="179">
        <v>44965</v>
      </c>
      <c r="B86">
        <v>65</v>
      </c>
      <c r="C86" s="316">
        <v>8.5</v>
      </c>
    </row>
    <row r="87" spans="1:3">
      <c r="A87" s="179">
        <v>44965</v>
      </c>
      <c r="B87">
        <v>66</v>
      </c>
      <c r="C87" s="316">
        <v>12.5</v>
      </c>
    </row>
    <row r="88" spans="1:3">
      <c r="A88" s="179">
        <v>44965</v>
      </c>
      <c r="B88">
        <v>67</v>
      </c>
      <c r="C88" s="316">
        <v>9</v>
      </c>
    </row>
    <row r="89" spans="1:3">
      <c r="A89" s="179">
        <v>44965</v>
      </c>
      <c r="B89">
        <v>68</v>
      </c>
      <c r="C89" s="316">
        <v>8</v>
      </c>
    </row>
    <row r="90" spans="1:3">
      <c r="A90" s="179">
        <v>44965</v>
      </c>
      <c r="B90">
        <v>69</v>
      </c>
      <c r="C90" s="316">
        <v>10.5</v>
      </c>
    </row>
    <row r="91" spans="1:3">
      <c r="A91" s="179">
        <v>44967</v>
      </c>
      <c r="B91">
        <v>70</v>
      </c>
      <c r="C91" s="316">
        <v>10</v>
      </c>
    </row>
    <row r="92" spans="1:3">
      <c r="A92" s="179">
        <v>44967</v>
      </c>
      <c r="B92">
        <v>71</v>
      </c>
      <c r="C92" s="316">
        <v>11.5</v>
      </c>
    </row>
    <row r="93" spans="1:3">
      <c r="A93" s="179">
        <v>44967</v>
      </c>
      <c r="B93">
        <v>72</v>
      </c>
      <c r="C93" s="316">
        <v>12.5</v>
      </c>
    </row>
    <row r="94" spans="1:3">
      <c r="A94" s="179">
        <v>44967</v>
      </c>
      <c r="B94">
        <v>73</v>
      </c>
      <c r="C94" s="316">
        <v>10.5</v>
      </c>
    </row>
    <row r="95" spans="1:3">
      <c r="A95" s="179">
        <v>44967</v>
      </c>
      <c r="B95">
        <v>74</v>
      </c>
      <c r="C95" s="316">
        <v>11</v>
      </c>
    </row>
    <row r="96" spans="1:3">
      <c r="A96" s="179">
        <v>44967</v>
      </c>
      <c r="B96">
        <v>75</v>
      </c>
      <c r="C96" s="316">
        <v>12</v>
      </c>
    </row>
    <row r="97" spans="1:3">
      <c r="A97" s="179">
        <v>44967</v>
      </c>
      <c r="B97">
        <v>76</v>
      </c>
      <c r="C97" s="316">
        <v>10</v>
      </c>
    </row>
    <row r="98" spans="1:3">
      <c r="A98" s="179">
        <v>44967</v>
      </c>
      <c r="B98">
        <v>77</v>
      </c>
      <c r="C98" s="316">
        <v>11.5</v>
      </c>
    </row>
    <row r="99" spans="1:3">
      <c r="A99" s="179">
        <v>44967</v>
      </c>
      <c r="B99">
        <v>78</v>
      </c>
      <c r="C99" s="316">
        <v>10</v>
      </c>
    </row>
    <row r="100" spans="1:3">
      <c r="A100" s="179">
        <v>44967</v>
      </c>
      <c r="B100">
        <v>79</v>
      </c>
      <c r="C100" s="316">
        <v>10</v>
      </c>
    </row>
    <row r="101" spans="1:3">
      <c r="A101" s="179">
        <v>44967</v>
      </c>
      <c r="B101">
        <v>80</v>
      </c>
      <c r="C101" s="316">
        <v>12</v>
      </c>
    </row>
    <row r="102" spans="1:3">
      <c r="A102" s="179">
        <v>44967</v>
      </c>
      <c r="B102">
        <v>81</v>
      </c>
      <c r="C102" s="316">
        <v>12</v>
      </c>
    </row>
    <row r="103" spans="1:3">
      <c r="A103" s="179">
        <v>44967</v>
      </c>
      <c r="B103">
        <v>82</v>
      </c>
      <c r="C103" s="316">
        <v>11.25</v>
      </c>
    </row>
    <row r="104" spans="1:3">
      <c r="A104" s="179">
        <v>44967</v>
      </c>
      <c r="B104">
        <v>83</v>
      </c>
      <c r="C104" s="316">
        <v>14</v>
      </c>
    </row>
    <row r="105" spans="1:3">
      <c r="A105" s="179">
        <v>44967</v>
      </c>
      <c r="B105">
        <v>84</v>
      </c>
      <c r="C105" s="316">
        <v>14.25</v>
      </c>
    </row>
    <row r="106" spans="1:3">
      <c r="A106" s="179">
        <v>44967</v>
      </c>
      <c r="B106">
        <v>85</v>
      </c>
      <c r="C106" s="316">
        <v>14.5</v>
      </c>
    </row>
    <row r="107" spans="1:3">
      <c r="A107" s="179">
        <v>44967</v>
      </c>
      <c r="B107">
        <v>86</v>
      </c>
      <c r="C107" s="316">
        <v>11.25</v>
      </c>
    </row>
    <row r="108" spans="1:3">
      <c r="A108" s="179">
        <v>44967</v>
      </c>
      <c r="B108">
        <v>87</v>
      </c>
      <c r="C108" s="316">
        <v>12</v>
      </c>
    </row>
    <row r="109" spans="1:3">
      <c r="A109" s="179">
        <v>44967</v>
      </c>
      <c r="B109">
        <v>88</v>
      </c>
      <c r="C109" s="316">
        <v>13.5</v>
      </c>
    </row>
    <row r="110" spans="1:3">
      <c r="A110" s="179">
        <v>44967</v>
      </c>
      <c r="B110">
        <v>89</v>
      </c>
      <c r="C110" s="316">
        <v>13</v>
      </c>
    </row>
    <row r="111" spans="1:3">
      <c r="A111" s="179">
        <v>44972</v>
      </c>
      <c r="B111">
        <v>90</v>
      </c>
      <c r="C111" s="316">
        <v>11.5</v>
      </c>
    </row>
    <row r="112" spans="1:3">
      <c r="A112" s="179">
        <v>44972</v>
      </c>
      <c r="B112">
        <v>91</v>
      </c>
      <c r="C112" s="316">
        <v>11</v>
      </c>
    </row>
    <row r="113" spans="1:3">
      <c r="A113" s="179">
        <v>44972</v>
      </c>
      <c r="B113">
        <v>92</v>
      </c>
      <c r="C113" s="316">
        <v>11.5</v>
      </c>
    </row>
    <row r="114" spans="1:3">
      <c r="A114" s="179">
        <v>44972</v>
      </c>
      <c r="B114">
        <v>93</v>
      </c>
      <c r="C114" s="316">
        <v>13.5</v>
      </c>
    </row>
    <row r="115" spans="1:3">
      <c r="A115" s="179">
        <v>44972</v>
      </c>
      <c r="B115">
        <v>94</v>
      </c>
      <c r="C115" s="316">
        <v>14</v>
      </c>
    </row>
    <row r="116" spans="1:3">
      <c r="A116" s="179">
        <v>44972</v>
      </c>
      <c r="B116">
        <v>95</v>
      </c>
      <c r="C116" s="316">
        <v>10.25</v>
      </c>
    </row>
    <row r="117" spans="1:3">
      <c r="A117" s="179">
        <v>44972</v>
      </c>
      <c r="B117">
        <v>96</v>
      </c>
      <c r="C117" s="316">
        <v>10.25</v>
      </c>
    </row>
    <row r="118" spans="1:3">
      <c r="A118" s="179">
        <v>44972</v>
      </c>
      <c r="B118">
        <v>97</v>
      </c>
      <c r="C118" s="316">
        <v>10</v>
      </c>
    </row>
    <row r="119" spans="1:3">
      <c r="A119" s="179">
        <v>44972</v>
      </c>
      <c r="B119">
        <v>98</v>
      </c>
      <c r="C119" s="316">
        <v>9</v>
      </c>
    </row>
    <row r="120" spans="1:3">
      <c r="A120" s="179">
        <v>44972</v>
      </c>
      <c r="B120">
        <v>99</v>
      </c>
      <c r="C120" s="316">
        <v>9</v>
      </c>
    </row>
    <row r="121" spans="1:3">
      <c r="A121" s="179">
        <v>44972</v>
      </c>
      <c r="B121">
        <v>100</v>
      </c>
      <c r="C121" s="316">
        <v>14.5</v>
      </c>
    </row>
    <row r="122" spans="1:3">
      <c r="A122" s="179">
        <v>44972</v>
      </c>
      <c r="B122">
        <v>101</v>
      </c>
      <c r="C122" s="316">
        <v>10</v>
      </c>
    </row>
    <row r="123" spans="1:3">
      <c r="A123" s="179">
        <v>44972</v>
      </c>
      <c r="B123">
        <v>102</v>
      </c>
      <c r="C123" s="316">
        <v>10</v>
      </c>
    </row>
    <row r="124" spans="1:3">
      <c r="A124" s="179">
        <v>44972</v>
      </c>
      <c r="B124">
        <v>103</v>
      </c>
      <c r="C124" s="316">
        <v>10</v>
      </c>
    </row>
    <row r="125" spans="1:3">
      <c r="A125" s="179">
        <v>44972</v>
      </c>
      <c r="B125">
        <v>104</v>
      </c>
      <c r="C125" s="316">
        <v>12.5</v>
      </c>
    </row>
    <row r="126" spans="1:3">
      <c r="A126" s="179">
        <v>44972</v>
      </c>
      <c r="B126">
        <v>105</v>
      </c>
      <c r="C126" s="316">
        <v>10.75</v>
      </c>
    </row>
    <row r="127" spans="1:3">
      <c r="A127" s="179">
        <v>44972</v>
      </c>
      <c r="B127">
        <v>106</v>
      </c>
      <c r="C127" s="316">
        <v>12.25</v>
      </c>
    </row>
    <row r="128" spans="1:3">
      <c r="A128" s="179">
        <v>44972</v>
      </c>
      <c r="B128">
        <v>107</v>
      </c>
      <c r="C128" s="316">
        <v>10</v>
      </c>
    </row>
    <row r="129" spans="1:3">
      <c r="A129" s="179">
        <v>44972</v>
      </c>
      <c r="B129">
        <v>108</v>
      </c>
      <c r="C129" s="316">
        <v>9.5</v>
      </c>
    </row>
    <row r="130" spans="1:3">
      <c r="A130" s="179">
        <v>44972</v>
      </c>
      <c r="B130">
        <v>109</v>
      </c>
      <c r="C130" s="316">
        <v>10</v>
      </c>
    </row>
    <row r="131" spans="1:3">
      <c r="A131" s="179">
        <v>44972</v>
      </c>
      <c r="B131">
        <v>110</v>
      </c>
      <c r="C131" s="316">
        <v>10</v>
      </c>
    </row>
    <row r="132" spans="1:3">
      <c r="A132" s="179">
        <v>44972</v>
      </c>
      <c r="B132">
        <v>111</v>
      </c>
      <c r="C132" s="316">
        <v>10</v>
      </c>
    </row>
    <row r="133" spans="1:3">
      <c r="A133" s="179">
        <v>44972</v>
      </c>
      <c r="B133">
        <v>112</v>
      </c>
      <c r="C133" s="316">
        <v>10</v>
      </c>
    </row>
    <row r="134" spans="1:3">
      <c r="A134" s="179">
        <v>44972</v>
      </c>
      <c r="B134">
        <v>113</v>
      </c>
      <c r="C134" s="316">
        <v>10.25</v>
      </c>
    </row>
    <row r="135" spans="1:3">
      <c r="A135" s="179">
        <v>44974</v>
      </c>
      <c r="B135">
        <v>114</v>
      </c>
      <c r="C135" s="316">
        <v>12</v>
      </c>
    </row>
    <row r="136" spans="1:3">
      <c r="A136" s="179">
        <v>44974</v>
      </c>
      <c r="B136">
        <v>115</v>
      </c>
      <c r="C136" s="316">
        <v>12</v>
      </c>
    </row>
    <row r="137" spans="1:3">
      <c r="A137" s="179">
        <v>44974</v>
      </c>
      <c r="B137">
        <v>116</v>
      </c>
      <c r="C137" s="316">
        <v>12</v>
      </c>
    </row>
    <row r="138" spans="1:3">
      <c r="A138" s="179">
        <v>44974</v>
      </c>
      <c r="B138">
        <v>117</v>
      </c>
      <c r="C138" s="316">
        <v>11</v>
      </c>
    </row>
    <row r="139" spans="1:3">
      <c r="A139" s="179">
        <v>44974</v>
      </c>
      <c r="B139">
        <v>118</v>
      </c>
      <c r="C139" s="316">
        <v>9</v>
      </c>
    </row>
    <row r="140" spans="1:3">
      <c r="A140" s="179">
        <v>44974</v>
      </c>
      <c r="B140">
        <v>119</v>
      </c>
      <c r="C140" s="316">
        <v>13</v>
      </c>
    </row>
    <row r="141" spans="1:3">
      <c r="A141" s="179">
        <v>44974</v>
      </c>
      <c r="B141">
        <v>120</v>
      </c>
      <c r="C141" s="316">
        <v>14</v>
      </c>
    </row>
    <row r="142" spans="1:3">
      <c r="A142" s="179">
        <v>44974</v>
      </c>
      <c r="B142">
        <v>121</v>
      </c>
      <c r="C142" s="316">
        <v>12.75</v>
      </c>
    </row>
    <row r="143" spans="1:3">
      <c r="A143" s="179">
        <v>44974</v>
      </c>
      <c r="B143">
        <v>122</v>
      </c>
      <c r="C143" s="316">
        <v>11</v>
      </c>
    </row>
    <row r="144" spans="1:3">
      <c r="A144" s="179">
        <v>44974</v>
      </c>
      <c r="B144">
        <v>123</v>
      </c>
      <c r="C144" s="316">
        <v>14.75</v>
      </c>
    </row>
    <row r="145" spans="1:3">
      <c r="A145" s="179">
        <v>44974</v>
      </c>
      <c r="B145">
        <v>124</v>
      </c>
      <c r="C145" s="316">
        <v>14.75</v>
      </c>
    </row>
    <row r="146" spans="1:3">
      <c r="A146" s="179">
        <v>44974</v>
      </c>
      <c r="B146">
        <v>125</v>
      </c>
      <c r="C146" s="316">
        <v>11.75</v>
      </c>
    </row>
    <row r="147" spans="1:3">
      <c r="A147" s="179">
        <v>44974</v>
      </c>
      <c r="B147">
        <v>126</v>
      </c>
      <c r="C147" s="316">
        <v>11</v>
      </c>
    </row>
    <row r="148" spans="1:3">
      <c r="A148" s="179">
        <v>44974</v>
      </c>
      <c r="B148">
        <v>127</v>
      </c>
      <c r="C148" s="316">
        <v>11</v>
      </c>
    </row>
    <row r="149" spans="1:3">
      <c r="A149" s="179">
        <v>44974</v>
      </c>
      <c r="B149">
        <v>128</v>
      </c>
      <c r="C149" s="316">
        <v>13.25</v>
      </c>
    </row>
    <row r="150" spans="1:3">
      <c r="A150" s="179">
        <v>44974</v>
      </c>
      <c r="B150">
        <v>129</v>
      </c>
      <c r="C150" s="316">
        <v>13</v>
      </c>
    </row>
    <row r="151" spans="1:3">
      <c r="A151" s="179">
        <v>44974</v>
      </c>
      <c r="B151">
        <v>130</v>
      </c>
      <c r="C151" s="316">
        <v>11.75</v>
      </c>
    </row>
    <row r="152" spans="1:3">
      <c r="A152" s="179">
        <v>44974</v>
      </c>
      <c r="B152">
        <v>131</v>
      </c>
      <c r="C152" s="316">
        <v>11</v>
      </c>
    </row>
    <row r="153" spans="1:3">
      <c r="A153" s="179">
        <v>44974</v>
      </c>
      <c r="B153">
        <v>132</v>
      </c>
      <c r="C153" s="316">
        <v>13.75</v>
      </c>
    </row>
    <row r="154" spans="1:3">
      <c r="A154" s="179">
        <v>44974</v>
      </c>
      <c r="B154">
        <v>133</v>
      </c>
      <c r="C154" s="316">
        <v>13</v>
      </c>
    </row>
    <row r="155" spans="1:3">
      <c r="A155" s="179">
        <v>44974</v>
      </c>
      <c r="B155">
        <v>134</v>
      </c>
      <c r="C155" s="316">
        <v>10</v>
      </c>
    </row>
    <row r="156" spans="1:3">
      <c r="A156" s="179">
        <v>44974</v>
      </c>
      <c r="B156">
        <v>135</v>
      </c>
      <c r="C156" s="316">
        <v>10</v>
      </c>
    </row>
    <row r="157" spans="1:3">
      <c r="A157" s="179">
        <v>44974</v>
      </c>
      <c r="B157">
        <v>136</v>
      </c>
      <c r="C157" s="316">
        <v>9.75</v>
      </c>
    </row>
    <row r="158" spans="1:3">
      <c r="A158" s="179">
        <v>44974</v>
      </c>
      <c r="B158">
        <v>137</v>
      </c>
      <c r="C158" s="316">
        <v>15.75</v>
      </c>
    </row>
    <row r="159" spans="1:3">
      <c r="A159" s="179">
        <v>44974</v>
      </c>
      <c r="B159">
        <v>138</v>
      </c>
      <c r="C159" s="316">
        <v>10</v>
      </c>
    </row>
    <row r="160" spans="1:3">
      <c r="A160" s="179">
        <v>44974</v>
      </c>
      <c r="B160">
        <v>139</v>
      </c>
      <c r="C160" s="316">
        <v>10</v>
      </c>
    </row>
    <row r="161" spans="1:3">
      <c r="A161" s="179">
        <v>44974</v>
      </c>
      <c r="B161">
        <v>140</v>
      </c>
      <c r="C161" s="316">
        <v>10.5</v>
      </c>
    </row>
    <row r="162" spans="1:3">
      <c r="A162" s="179">
        <v>44974</v>
      </c>
      <c r="B162">
        <v>141</v>
      </c>
      <c r="C162" s="316">
        <v>10</v>
      </c>
    </row>
    <row r="163" spans="1:3">
      <c r="A163" s="179">
        <v>44974</v>
      </c>
      <c r="B163">
        <v>142</v>
      </c>
      <c r="C163" s="316">
        <v>10</v>
      </c>
    </row>
    <row r="164" spans="1:3">
      <c r="A164" s="179">
        <v>44974</v>
      </c>
      <c r="B164">
        <v>143</v>
      </c>
      <c r="C164" s="316">
        <v>9</v>
      </c>
    </row>
    <row r="165" spans="1:3">
      <c r="A165" s="179">
        <v>44974</v>
      </c>
      <c r="B165">
        <v>144</v>
      </c>
      <c r="C165" s="316">
        <v>9.25</v>
      </c>
    </row>
    <row r="166" spans="1:3">
      <c r="A166" s="179">
        <v>44974</v>
      </c>
      <c r="B166">
        <v>145</v>
      </c>
      <c r="C166" s="316">
        <v>12.75</v>
      </c>
    </row>
    <row r="167" spans="1:3">
      <c r="A167" s="179">
        <v>44974</v>
      </c>
      <c r="B167">
        <v>146</v>
      </c>
      <c r="C167" s="316">
        <v>12</v>
      </c>
    </row>
    <row r="168" spans="1:3">
      <c r="A168" s="179">
        <v>44974</v>
      </c>
      <c r="B168">
        <v>147</v>
      </c>
      <c r="C168" s="316">
        <v>10</v>
      </c>
    </row>
    <row r="169" spans="1:3">
      <c r="A169" s="179">
        <v>44974</v>
      </c>
      <c r="B169">
        <v>148</v>
      </c>
      <c r="C169" s="316">
        <v>9.5</v>
      </c>
    </row>
    <row r="170" spans="1:3">
      <c r="A170" s="179">
        <v>44979</v>
      </c>
      <c r="B170">
        <v>149</v>
      </c>
      <c r="C170" s="316">
        <v>12</v>
      </c>
    </row>
    <row r="171" spans="1:3">
      <c r="A171" s="179">
        <v>44979</v>
      </c>
      <c r="B171">
        <v>150</v>
      </c>
      <c r="C171" s="316">
        <v>12.25</v>
      </c>
    </row>
    <row r="172" spans="1:3">
      <c r="A172" s="179">
        <v>44979</v>
      </c>
      <c r="B172">
        <v>151</v>
      </c>
      <c r="C172" s="316">
        <v>9.5</v>
      </c>
    </row>
    <row r="173" spans="1:3">
      <c r="A173" s="179">
        <v>44979</v>
      </c>
      <c r="B173">
        <v>152</v>
      </c>
      <c r="C173" s="316">
        <v>9</v>
      </c>
    </row>
    <row r="174" spans="1:3">
      <c r="A174" s="179">
        <v>44979</v>
      </c>
      <c r="B174">
        <v>153</v>
      </c>
      <c r="C174" s="316">
        <v>10</v>
      </c>
    </row>
    <row r="175" spans="1:3">
      <c r="A175" s="179">
        <v>44979</v>
      </c>
      <c r="B175">
        <v>154</v>
      </c>
      <c r="C175" s="316">
        <v>10</v>
      </c>
    </row>
    <row r="176" spans="1:3">
      <c r="A176" s="179">
        <v>44979</v>
      </c>
      <c r="B176">
        <v>155</v>
      </c>
      <c r="C176" s="316">
        <v>8.5</v>
      </c>
    </row>
    <row r="177" spans="1:3">
      <c r="A177" s="179">
        <v>44979</v>
      </c>
      <c r="B177">
        <v>156</v>
      </c>
      <c r="C177" s="316">
        <v>12</v>
      </c>
    </row>
    <row r="178" spans="1:3">
      <c r="A178" s="179">
        <v>44979</v>
      </c>
      <c r="B178">
        <v>157</v>
      </c>
      <c r="C178" s="316">
        <v>10.75</v>
      </c>
    </row>
    <row r="179" spans="1:3">
      <c r="A179" s="179">
        <v>44979</v>
      </c>
      <c r="B179">
        <v>158</v>
      </c>
      <c r="C179" s="316">
        <v>12</v>
      </c>
    </row>
    <row r="180" spans="1:3">
      <c r="A180" s="179">
        <v>44979</v>
      </c>
      <c r="B180">
        <v>159</v>
      </c>
      <c r="C180" s="316">
        <v>13</v>
      </c>
    </row>
    <row r="181" spans="1:3">
      <c r="A181" s="179">
        <v>44979</v>
      </c>
      <c r="B181">
        <v>160</v>
      </c>
      <c r="C181" s="316">
        <v>11.5</v>
      </c>
    </row>
    <row r="182" spans="1:3">
      <c r="A182" s="179">
        <v>44979</v>
      </c>
      <c r="B182">
        <v>161</v>
      </c>
      <c r="C182" s="316">
        <v>12</v>
      </c>
    </row>
    <row r="183" spans="1:3">
      <c r="A183" s="179">
        <v>44979</v>
      </c>
      <c r="B183">
        <v>162</v>
      </c>
      <c r="C183" s="316">
        <v>11.25</v>
      </c>
    </row>
    <row r="184" spans="1:3">
      <c r="A184" s="179">
        <v>44979</v>
      </c>
      <c r="B184">
        <v>163</v>
      </c>
      <c r="C184" s="316">
        <v>13</v>
      </c>
    </row>
    <row r="185" spans="1:3">
      <c r="A185" s="179">
        <v>44979</v>
      </c>
      <c r="B185">
        <v>164</v>
      </c>
      <c r="C185" s="316">
        <v>13.5</v>
      </c>
    </row>
    <row r="186" spans="1:3">
      <c r="A186" s="179">
        <v>44979</v>
      </c>
      <c r="B186">
        <v>165</v>
      </c>
      <c r="C186" s="316">
        <v>9</v>
      </c>
    </row>
    <row r="187" spans="1:3">
      <c r="A187" s="179">
        <v>44979</v>
      </c>
      <c r="B187">
        <v>166</v>
      </c>
      <c r="C187" s="316">
        <v>9</v>
      </c>
    </row>
    <row r="188" spans="1:3">
      <c r="A188" s="179">
        <v>44979</v>
      </c>
      <c r="B188">
        <v>167</v>
      </c>
      <c r="C188" s="316">
        <v>12</v>
      </c>
    </row>
    <row r="189" spans="1:3">
      <c r="A189" s="179">
        <v>44979</v>
      </c>
      <c r="B189">
        <v>168</v>
      </c>
      <c r="C189" s="316">
        <v>9</v>
      </c>
    </row>
    <row r="190" spans="1:3">
      <c r="A190" s="179">
        <v>44981</v>
      </c>
      <c r="B190">
        <v>169</v>
      </c>
      <c r="C190" s="316">
        <v>9</v>
      </c>
    </row>
    <row r="191" spans="1:3">
      <c r="A191" s="179">
        <v>44981</v>
      </c>
      <c r="B191">
        <v>170</v>
      </c>
      <c r="C191" s="316">
        <v>9.25</v>
      </c>
    </row>
    <row r="192" spans="1:3">
      <c r="A192" s="179">
        <v>44981</v>
      </c>
      <c r="B192">
        <v>171</v>
      </c>
      <c r="C192" s="316">
        <v>12</v>
      </c>
    </row>
    <row r="193" spans="1:3">
      <c r="A193" s="179">
        <v>44981</v>
      </c>
      <c r="B193">
        <v>172</v>
      </c>
      <c r="C193" s="316">
        <v>12</v>
      </c>
    </row>
    <row r="194" spans="1:3">
      <c r="A194" s="179">
        <v>44981</v>
      </c>
      <c r="B194">
        <v>173</v>
      </c>
      <c r="C194" s="316">
        <v>9.75</v>
      </c>
    </row>
    <row r="195" spans="1:3">
      <c r="A195" s="179">
        <v>44981</v>
      </c>
      <c r="B195">
        <v>174</v>
      </c>
      <c r="C195" s="316">
        <v>12</v>
      </c>
    </row>
    <row r="196" spans="1:3">
      <c r="A196" s="179">
        <v>44981</v>
      </c>
      <c r="B196">
        <v>175</v>
      </c>
      <c r="C196" s="316">
        <v>12.25</v>
      </c>
    </row>
    <row r="197" spans="1:3">
      <c r="A197" s="179">
        <v>44981</v>
      </c>
      <c r="B197">
        <v>176</v>
      </c>
      <c r="C197" s="316">
        <v>10</v>
      </c>
    </row>
    <row r="198" spans="1:3">
      <c r="A198" s="179">
        <v>44981</v>
      </c>
      <c r="B198">
        <v>177</v>
      </c>
      <c r="C198" s="316">
        <v>10</v>
      </c>
    </row>
    <row r="199" spans="1:3">
      <c r="A199" s="179">
        <v>44981</v>
      </c>
      <c r="B199">
        <v>178</v>
      </c>
      <c r="C199" s="316">
        <v>9.25</v>
      </c>
    </row>
    <row r="200" spans="1:3">
      <c r="A200" s="179">
        <v>44981</v>
      </c>
      <c r="B200">
        <v>179</v>
      </c>
      <c r="C200" s="316">
        <v>12</v>
      </c>
    </row>
    <row r="201" spans="1:3">
      <c r="A201" s="179">
        <v>44981</v>
      </c>
      <c r="B201">
        <v>180</v>
      </c>
      <c r="C201" s="316">
        <v>11</v>
      </c>
    </row>
    <row r="202" spans="1:3">
      <c r="A202" s="179">
        <v>44981</v>
      </c>
      <c r="B202">
        <v>181</v>
      </c>
      <c r="C202" s="316">
        <v>10.75</v>
      </c>
    </row>
    <row r="203" spans="1:3">
      <c r="A203" s="179">
        <v>44981</v>
      </c>
      <c r="B203">
        <v>182</v>
      </c>
      <c r="C203" s="316">
        <v>10</v>
      </c>
    </row>
    <row r="204" spans="1:3">
      <c r="A204" s="179">
        <v>44981</v>
      </c>
      <c r="B204">
        <v>183</v>
      </c>
      <c r="C204" s="316">
        <v>12</v>
      </c>
    </row>
    <row r="205" spans="1:3">
      <c r="A205" s="179">
        <v>44981</v>
      </c>
      <c r="B205">
        <v>184</v>
      </c>
      <c r="C205" s="316">
        <v>10</v>
      </c>
    </row>
    <row r="206" spans="1:3">
      <c r="A206" s="179">
        <v>44981</v>
      </c>
      <c r="B206">
        <v>185</v>
      </c>
      <c r="C206" s="316">
        <v>11</v>
      </c>
    </row>
    <row r="207" spans="1:3">
      <c r="A207" s="179">
        <v>44981</v>
      </c>
      <c r="B207">
        <v>186</v>
      </c>
      <c r="C207" s="316">
        <v>10</v>
      </c>
    </row>
    <row r="208" spans="1:3">
      <c r="A208" s="179">
        <v>44981</v>
      </c>
      <c r="B208">
        <v>187</v>
      </c>
      <c r="C208" s="316">
        <v>10</v>
      </c>
    </row>
    <row r="209" spans="1:3">
      <c r="A209" s="179">
        <v>44981</v>
      </c>
      <c r="B209">
        <v>188</v>
      </c>
      <c r="C209" s="316">
        <v>10</v>
      </c>
    </row>
    <row r="210" spans="1:3">
      <c r="A210" s="179">
        <v>44981</v>
      </c>
      <c r="B210">
        <v>189</v>
      </c>
      <c r="C210" s="316">
        <v>11</v>
      </c>
    </row>
    <row r="211" spans="1:3">
      <c r="A211" s="179">
        <v>44981</v>
      </c>
      <c r="B211">
        <v>190</v>
      </c>
      <c r="C211" s="316">
        <v>9.75</v>
      </c>
    </row>
    <row r="212" spans="1:3">
      <c r="A212" s="179">
        <v>44981</v>
      </c>
      <c r="B212">
        <v>191</v>
      </c>
      <c r="C212" s="316">
        <v>12</v>
      </c>
    </row>
    <row r="213" spans="1:3">
      <c r="A213" s="179">
        <v>44981</v>
      </c>
      <c r="B213">
        <v>192</v>
      </c>
      <c r="C213" s="316">
        <v>12</v>
      </c>
    </row>
    <row r="214" spans="1:3">
      <c r="A214" s="179">
        <v>44981</v>
      </c>
      <c r="B214">
        <v>193</v>
      </c>
      <c r="C214" s="316">
        <v>12</v>
      </c>
    </row>
    <row r="215" spans="1:3">
      <c r="A215" s="179">
        <v>44981</v>
      </c>
      <c r="B215">
        <v>194</v>
      </c>
      <c r="C215" s="316">
        <v>9.75</v>
      </c>
    </row>
    <row r="216" spans="1:3">
      <c r="A216" s="179">
        <v>44981</v>
      </c>
      <c r="B216">
        <v>195</v>
      </c>
      <c r="C216" s="316">
        <v>10</v>
      </c>
    </row>
    <row r="217" spans="1:3">
      <c r="A217" s="179">
        <v>44981</v>
      </c>
      <c r="B217">
        <v>196</v>
      </c>
      <c r="C217" s="316">
        <v>11</v>
      </c>
    </row>
    <row r="218" spans="1:3">
      <c r="A218" s="179">
        <v>44981</v>
      </c>
      <c r="B218">
        <v>197</v>
      </c>
      <c r="C218" s="316">
        <v>10</v>
      </c>
    </row>
    <row r="219" spans="1:3">
      <c r="A219" s="179">
        <v>44981</v>
      </c>
      <c r="B219">
        <v>198</v>
      </c>
      <c r="C219" s="316">
        <v>13.25</v>
      </c>
    </row>
    <row r="220" spans="1:3">
      <c r="A220" s="179">
        <v>44981</v>
      </c>
      <c r="B220">
        <v>199</v>
      </c>
      <c r="C220" s="316">
        <v>12</v>
      </c>
    </row>
    <row r="221" spans="1:3">
      <c r="A221" s="179">
        <v>44981</v>
      </c>
      <c r="B221">
        <v>200</v>
      </c>
      <c r="C221" s="316">
        <v>12</v>
      </c>
    </row>
    <row r="222" spans="1:3">
      <c r="A222" s="179">
        <v>44981</v>
      </c>
      <c r="B222">
        <v>201</v>
      </c>
      <c r="C222" s="316">
        <v>10.5</v>
      </c>
    </row>
    <row r="223" spans="1:3">
      <c r="A223" s="179">
        <v>44981</v>
      </c>
      <c r="B223">
        <v>202</v>
      </c>
      <c r="C223" s="316">
        <v>10</v>
      </c>
    </row>
    <row r="224" spans="1:3">
      <c r="A224" s="179">
        <v>44981</v>
      </c>
      <c r="B224">
        <v>203</v>
      </c>
      <c r="C224" s="316">
        <v>9.75</v>
      </c>
    </row>
    <row r="225" spans="1:3">
      <c r="A225" s="179">
        <v>44981</v>
      </c>
      <c r="B225">
        <v>204</v>
      </c>
      <c r="C225" s="316">
        <v>10</v>
      </c>
    </row>
    <row r="226" spans="1:3">
      <c r="A226" s="179">
        <v>44981</v>
      </c>
      <c r="B226">
        <v>205</v>
      </c>
      <c r="C226" s="316">
        <v>10.75</v>
      </c>
    </row>
    <row r="227" spans="1:3">
      <c r="A227" s="179">
        <v>44981</v>
      </c>
      <c r="B227">
        <v>206</v>
      </c>
      <c r="C227" s="316">
        <v>11</v>
      </c>
    </row>
    <row r="228" spans="1:3">
      <c r="A228" s="179">
        <v>44981</v>
      </c>
      <c r="B228">
        <v>207</v>
      </c>
      <c r="C228" s="316">
        <v>10</v>
      </c>
    </row>
    <row r="229" spans="1:3">
      <c r="A229" s="179">
        <v>44981</v>
      </c>
      <c r="B229">
        <v>208</v>
      </c>
      <c r="C229" s="316">
        <v>14.5</v>
      </c>
    </row>
    <row r="230" spans="1:3">
      <c r="A230" s="179">
        <v>44981</v>
      </c>
      <c r="B230">
        <v>209</v>
      </c>
      <c r="C230" s="316">
        <v>9</v>
      </c>
    </row>
    <row r="231" spans="1:3">
      <c r="A231" s="179">
        <v>44981</v>
      </c>
      <c r="B231">
        <v>210</v>
      </c>
      <c r="C231" s="316">
        <v>8.5</v>
      </c>
    </row>
    <row r="233" spans="1:3">
      <c r="A233" s="179">
        <v>44958</v>
      </c>
      <c r="B233">
        <v>677</v>
      </c>
      <c r="C233" s="316">
        <v>79.25</v>
      </c>
    </row>
    <row r="234" spans="1:3">
      <c r="A234" s="179">
        <v>44958</v>
      </c>
      <c r="B234">
        <v>678</v>
      </c>
      <c r="C234" s="316">
        <v>8.75</v>
      </c>
    </row>
    <row r="235" spans="1:3">
      <c r="A235" s="179">
        <v>44959</v>
      </c>
      <c r="B235">
        <v>679</v>
      </c>
      <c r="C235" s="316">
        <v>87.5</v>
      </c>
    </row>
    <row r="236" spans="1:3">
      <c r="A236" s="179">
        <v>44959</v>
      </c>
      <c r="B236">
        <v>680</v>
      </c>
      <c r="C236" s="316">
        <v>7.75</v>
      </c>
    </row>
    <row r="237" spans="1:3">
      <c r="A237" s="179">
        <v>44959</v>
      </c>
      <c r="B237">
        <v>681</v>
      </c>
      <c r="C237" s="316">
        <v>34.5</v>
      </c>
    </row>
    <row r="238" spans="1:3">
      <c r="A238" s="179">
        <v>44960</v>
      </c>
      <c r="B238">
        <v>682</v>
      </c>
      <c r="C238" s="316">
        <v>27.5</v>
      </c>
    </row>
    <row r="239" spans="1:3">
      <c r="A239" s="179">
        <v>44960</v>
      </c>
      <c r="B239">
        <v>683</v>
      </c>
      <c r="C239" s="316">
        <v>27.5</v>
      </c>
    </row>
    <row r="240" spans="1:3">
      <c r="A240" s="179">
        <v>44960</v>
      </c>
      <c r="B240">
        <v>684</v>
      </c>
      <c r="C240" s="316">
        <v>47.75</v>
      </c>
    </row>
    <row r="241" spans="1:3">
      <c r="A241" s="179">
        <v>44960</v>
      </c>
      <c r="B241">
        <v>685</v>
      </c>
      <c r="C241" s="316">
        <v>13</v>
      </c>
    </row>
    <row r="242" spans="1:3">
      <c r="A242" s="179">
        <v>44961</v>
      </c>
      <c r="B242">
        <v>686</v>
      </c>
      <c r="C242" s="316">
        <v>74.75</v>
      </c>
    </row>
    <row r="243" spans="1:3">
      <c r="A243" s="179">
        <v>44961</v>
      </c>
      <c r="B243">
        <v>687</v>
      </c>
      <c r="C243" s="316">
        <v>14.5</v>
      </c>
    </row>
    <row r="244" spans="1:3">
      <c r="A244" s="179">
        <v>44962</v>
      </c>
      <c r="B244">
        <v>688</v>
      </c>
      <c r="C244" s="316">
        <v>29.75</v>
      </c>
    </row>
    <row r="245" spans="1:3">
      <c r="A245" s="179">
        <v>44962</v>
      </c>
      <c r="B245">
        <v>689</v>
      </c>
      <c r="C245" s="316">
        <v>7</v>
      </c>
    </row>
    <row r="246" spans="1:3">
      <c r="A246" s="179">
        <v>44963</v>
      </c>
      <c r="B246">
        <v>690</v>
      </c>
      <c r="C246" s="316">
        <v>43.5</v>
      </c>
    </row>
    <row r="247" spans="1:3">
      <c r="A247" s="179">
        <v>44963</v>
      </c>
      <c r="B247">
        <v>691</v>
      </c>
      <c r="C247" s="316">
        <v>11.5</v>
      </c>
    </row>
    <row r="248" spans="1:3">
      <c r="A248" s="179">
        <v>44964</v>
      </c>
      <c r="B248">
        <v>692</v>
      </c>
      <c r="C248" s="316">
        <v>7.5</v>
      </c>
    </row>
    <row r="249" spans="1:3">
      <c r="A249" s="179">
        <v>44964</v>
      </c>
      <c r="B249">
        <v>693</v>
      </c>
      <c r="C249" s="316">
        <v>6.55</v>
      </c>
    </row>
    <row r="250" spans="1:3">
      <c r="A250" s="179">
        <v>44964</v>
      </c>
      <c r="B250">
        <v>694</v>
      </c>
      <c r="C250" s="316">
        <v>12.9</v>
      </c>
    </row>
    <row r="251" spans="1:3">
      <c r="A251" s="179">
        <v>44965</v>
      </c>
      <c r="B251">
        <v>695</v>
      </c>
      <c r="C251" s="316">
        <v>25.75</v>
      </c>
    </row>
    <row r="252" spans="1:3">
      <c r="A252" s="179">
        <v>44965</v>
      </c>
      <c r="B252">
        <v>696</v>
      </c>
      <c r="C252" s="316">
        <v>9.8000000000000007</v>
      </c>
    </row>
    <row r="253" spans="1:3">
      <c r="A253" s="179">
        <v>44966</v>
      </c>
      <c r="B253">
        <v>697</v>
      </c>
      <c r="C253" s="316">
        <v>32.75</v>
      </c>
    </row>
    <row r="254" spans="1:3">
      <c r="A254" s="179">
        <v>44966</v>
      </c>
      <c r="B254">
        <v>698</v>
      </c>
      <c r="C254" s="316">
        <v>6.7</v>
      </c>
    </row>
    <row r="255" spans="1:3">
      <c r="A255" s="179">
        <v>44967</v>
      </c>
      <c r="B255">
        <v>699</v>
      </c>
      <c r="C255" s="316">
        <v>78.75</v>
      </c>
    </row>
    <row r="256" spans="1:3">
      <c r="A256" s="179">
        <v>44967</v>
      </c>
      <c r="B256">
        <v>700</v>
      </c>
      <c r="C256" s="316">
        <v>16.25</v>
      </c>
    </row>
    <row r="257" spans="1:3">
      <c r="A257" s="179">
        <v>44967</v>
      </c>
      <c r="B257">
        <v>701</v>
      </c>
      <c r="C257" s="316">
        <v>7.4</v>
      </c>
    </row>
    <row r="258" spans="1:3">
      <c r="A258" s="179">
        <v>44968</v>
      </c>
      <c r="B258">
        <v>702</v>
      </c>
      <c r="C258" s="316">
        <v>23.5</v>
      </c>
    </row>
    <row r="259" spans="1:3">
      <c r="A259" s="179">
        <v>44968</v>
      </c>
      <c r="B259">
        <v>703</v>
      </c>
      <c r="C259" s="316">
        <v>7.85</v>
      </c>
    </row>
    <row r="260" spans="1:3">
      <c r="A260" s="179">
        <v>44969</v>
      </c>
      <c r="B260">
        <v>704</v>
      </c>
      <c r="C260" s="316">
        <v>24.75</v>
      </c>
    </row>
    <row r="261" spans="1:3">
      <c r="A261" s="179">
        <v>44969</v>
      </c>
      <c r="B261">
        <v>705</v>
      </c>
      <c r="C261" s="316">
        <v>6.65</v>
      </c>
    </row>
    <row r="262" spans="1:3">
      <c r="A262" s="179">
        <v>44969</v>
      </c>
      <c r="B262">
        <v>706</v>
      </c>
      <c r="C262" s="316">
        <v>4.5</v>
      </c>
    </row>
    <row r="263" spans="1:3">
      <c r="A263" s="179">
        <v>44970</v>
      </c>
      <c r="B263">
        <v>707</v>
      </c>
      <c r="C263" s="316">
        <v>36.25</v>
      </c>
    </row>
    <row r="264" spans="1:3">
      <c r="A264" s="179">
        <v>44970</v>
      </c>
      <c r="B264">
        <v>708</v>
      </c>
      <c r="C264" s="316">
        <v>9.75</v>
      </c>
    </row>
    <row r="265" spans="1:3">
      <c r="A265" s="179">
        <v>44971</v>
      </c>
      <c r="B265">
        <v>709</v>
      </c>
      <c r="C265" s="316">
        <v>16.25</v>
      </c>
    </row>
    <row r="266" spans="1:3">
      <c r="A266" s="179">
        <v>44971</v>
      </c>
      <c r="B266">
        <v>710</v>
      </c>
      <c r="C266" s="316">
        <v>5.35</v>
      </c>
    </row>
    <row r="267" spans="1:3">
      <c r="A267" s="179">
        <v>44972</v>
      </c>
      <c r="B267">
        <v>711</v>
      </c>
      <c r="C267" s="316">
        <v>29.5</v>
      </c>
    </row>
    <row r="268" spans="1:3">
      <c r="A268" s="179">
        <v>44972</v>
      </c>
      <c r="B268">
        <v>712</v>
      </c>
      <c r="C268" s="316">
        <v>10.75</v>
      </c>
    </row>
    <row r="269" spans="1:3">
      <c r="A269" s="179">
        <v>44973</v>
      </c>
      <c r="B269">
        <v>713</v>
      </c>
      <c r="C269" s="316">
        <v>9.4</v>
      </c>
    </row>
    <row r="270" spans="1:3">
      <c r="A270" s="179">
        <v>44973</v>
      </c>
      <c r="B270">
        <v>714</v>
      </c>
      <c r="C270" s="316">
        <v>8.35</v>
      </c>
    </row>
    <row r="271" spans="1:3">
      <c r="A271" s="179">
        <v>44974</v>
      </c>
      <c r="B271">
        <v>715</v>
      </c>
      <c r="C271" s="316">
        <v>9.5</v>
      </c>
    </row>
    <row r="272" spans="1:3">
      <c r="A272" s="179">
        <v>44974</v>
      </c>
      <c r="B272">
        <v>716</v>
      </c>
      <c r="C272" s="316">
        <v>9</v>
      </c>
    </row>
    <row r="273" spans="1:3">
      <c r="A273" s="179">
        <v>44975</v>
      </c>
      <c r="B273">
        <v>717</v>
      </c>
      <c r="C273" s="316">
        <v>47.15</v>
      </c>
    </row>
    <row r="274" spans="1:3">
      <c r="A274" s="179">
        <v>44975</v>
      </c>
      <c r="B274">
        <v>718</v>
      </c>
      <c r="C274" s="316">
        <v>5.9</v>
      </c>
    </row>
    <row r="275" spans="1:3">
      <c r="A275" s="179">
        <v>44976</v>
      </c>
      <c r="B275">
        <v>719</v>
      </c>
      <c r="C275" s="316">
        <v>18</v>
      </c>
    </row>
    <row r="276" spans="1:3">
      <c r="A276" s="179">
        <v>44976</v>
      </c>
      <c r="B276">
        <v>720</v>
      </c>
      <c r="C276" s="316">
        <v>6.35</v>
      </c>
    </row>
    <row r="277" spans="1:3">
      <c r="A277" s="179">
        <v>44977</v>
      </c>
      <c r="B277">
        <v>721</v>
      </c>
      <c r="C277" s="316">
        <v>8.75</v>
      </c>
    </row>
    <row r="278" spans="1:3">
      <c r="A278" s="179">
        <v>44977</v>
      </c>
      <c r="B278">
        <v>722</v>
      </c>
      <c r="C278" s="316">
        <v>8.65</v>
      </c>
    </row>
    <row r="279" spans="1:3">
      <c r="A279" s="179">
        <v>44978</v>
      </c>
      <c r="B279">
        <v>723</v>
      </c>
      <c r="C279" s="316">
        <v>56.5</v>
      </c>
    </row>
    <row r="280" spans="1:3">
      <c r="A280" s="179">
        <v>44978</v>
      </c>
      <c r="B280">
        <v>724</v>
      </c>
      <c r="C280" s="316">
        <v>9.25</v>
      </c>
    </row>
    <row r="281" spans="1:3">
      <c r="A281" s="179">
        <v>44978</v>
      </c>
      <c r="B281">
        <v>725</v>
      </c>
      <c r="C281" s="316">
        <v>3.1</v>
      </c>
    </row>
    <row r="282" spans="1:3">
      <c r="A282" s="179">
        <v>44979</v>
      </c>
      <c r="B282">
        <v>726</v>
      </c>
      <c r="C282" s="316">
        <v>6.25</v>
      </c>
    </row>
    <row r="283" spans="1:3">
      <c r="A283" s="179">
        <v>44980</v>
      </c>
      <c r="B283">
        <v>727</v>
      </c>
      <c r="C283" s="316">
        <v>39.25</v>
      </c>
    </row>
    <row r="284" spans="1:3">
      <c r="A284" s="179">
        <v>44980</v>
      </c>
      <c r="B284">
        <v>728</v>
      </c>
      <c r="C284" s="316">
        <v>7.25</v>
      </c>
    </row>
    <row r="285" spans="1:3">
      <c r="A285" s="179">
        <v>44981</v>
      </c>
      <c r="B285">
        <v>729</v>
      </c>
      <c r="C285" s="316">
        <v>40.5</v>
      </c>
    </row>
    <row r="286" spans="1:3">
      <c r="A286" s="179">
        <v>44981</v>
      </c>
      <c r="B286">
        <v>730</v>
      </c>
      <c r="C286" s="316">
        <v>6.95</v>
      </c>
    </row>
    <row r="287" spans="1:3">
      <c r="A287" s="179">
        <v>44982</v>
      </c>
      <c r="B287">
        <v>731</v>
      </c>
      <c r="C287" s="316">
        <v>25.25</v>
      </c>
    </row>
    <row r="288" spans="1:3">
      <c r="A288" s="179">
        <v>44982</v>
      </c>
      <c r="B288">
        <v>732</v>
      </c>
      <c r="C288" s="316">
        <v>8.85</v>
      </c>
    </row>
    <row r="289" spans="1:3">
      <c r="A289" s="179">
        <v>44983</v>
      </c>
      <c r="B289">
        <v>733</v>
      </c>
      <c r="C289" s="316">
        <v>11.5</v>
      </c>
    </row>
    <row r="290" spans="1:3">
      <c r="A290" s="179">
        <v>44983</v>
      </c>
      <c r="B290">
        <v>734</v>
      </c>
      <c r="C290" s="316">
        <v>2.75</v>
      </c>
    </row>
    <row r="291" spans="1:3">
      <c r="A291" s="179">
        <v>44984</v>
      </c>
      <c r="B291">
        <v>735</v>
      </c>
      <c r="C291" s="316">
        <v>14.25</v>
      </c>
    </row>
    <row r="292" spans="1:3">
      <c r="A292" s="179">
        <v>44985</v>
      </c>
      <c r="B292">
        <v>736</v>
      </c>
      <c r="C292" s="316">
        <v>26.25</v>
      </c>
    </row>
    <row r="293" spans="1:3">
      <c r="A293" s="179">
        <v>44985</v>
      </c>
      <c r="B293">
        <v>737</v>
      </c>
      <c r="C293" s="316">
        <v>18.850000000000001</v>
      </c>
    </row>
    <row r="294" spans="1:3">
      <c r="A294" s="179">
        <v>44985</v>
      </c>
      <c r="B294">
        <v>738</v>
      </c>
      <c r="C294" s="316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17D2-E592-4228-B8CC-C700351E8246}">
  <sheetPr>
    <tabColor rgb="FF7030A0"/>
  </sheetPr>
  <dimension ref="A1:C321"/>
  <sheetViews>
    <sheetView topLeftCell="A303" workbookViewId="0">
      <selection activeCell="C318" sqref="C318"/>
    </sheetView>
  </sheetViews>
  <sheetFormatPr baseColWidth="10" defaultRowHeight="13.2"/>
  <sheetData>
    <row r="1" spans="1:3">
      <c r="A1" s="390">
        <v>44930</v>
      </c>
      <c r="B1" s="181">
        <v>1228</v>
      </c>
      <c r="C1" s="330">
        <v>13.5</v>
      </c>
    </row>
    <row r="2" spans="1:3">
      <c r="A2" s="390">
        <v>44930</v>
      </c>
      <c r="B2" s="181">
        <v>1229</v>
      </c>
      <c r="C2" s="330">
        <v>12.5</v>
      </c>
    </row>
    <row r="3" spans="1:3">
      <c r="A3" s="390">
        <v>44930</v>
      </c>
      <c r="B3" s="181">
        <v>1230</v>
      </c>
      <c r="C3" s="330">
        <v>10.75</v>
      </c>
    </row>
    <row r="4" spans="1:3">
      <c r="A4" s="390">
        <v>44930</v>
      </c>
      <c r="B4" s="181">
        <v>1231</v>
      </c>
      <c r="C4" s="330">
        <v>9.75</v>
      </c>
    </row>
    <row r="5" spans="1:3">
      <c r="A5" s="390">
        <v>44930</v>
      </c>
      <c r="B5" s="181">
        <v>1232</v>
      </c>
      <c r="C5" s="330">
        <v>14.5</v>
      </c>
    </row>
    <row r="6" spans="1:3">
      <c r="A6" s="390">
        <v>44930</v>
      </c>
      <c r="B6" s="181">
        <v>1233</v>
      </c>
      <c r="C6" s="330">
        <v>9.25</v>
      </c>
    </row>
    <row r="7" spans="1:3">
      <c r="A7" s="390">
        <v>44930</v>
      </c>
      <c r="B7" s="181">
        <v>1234</v>
      </c>
      <c r="C7" s="330">
        <v>10</v>
      </c>
    </row>
    <row r="8" spans="1:3">
      <c r="A8" s="390">
        <v>44930</v>
      </c>
      <c r="B8" s="181">
        <v>1235</v>
      </c>
      <c r="C8" s="330">
        <v>10</v>
      </c>
    </row>
    <row r="9" spans="1:3">
      <c r="A9" s="390">
        <v>44930</v>
      </c>
      <c r="B9" s="181">
        <v>1236</v>
      </c>
      <c r="C9" s="330">
        <v>10.5</v>
      </c>
    </row>
    <row r="10" spans="1:3">
      <c r="A10" s="390">
        <v>44930</v>
      </c>
      <c r="B10" s="181">
        <v>1237</v>
      </c>
      <c r="C10" s="330">
        <v>10</v>
      </c>
    </row>
    <row r="11" spans="1:3">
      <c r="A11" s="390">
        <v>44930</v>
      </c>
      <c r="B11" s="181">
        <v>1238</v>
      </c>
      <c r="C11" s="330">
        <v>13</v>
      </c>
    </row>
    <row r="12" spans="1:3">
      <c r="A12" s="390">
        <v>44930</v>
      </c>
      <c r="B12" s="181">
        <v>1239</v>
      </c>
      <c r="C12" s="330">
        <v>10.5</v>
      </c>
    </row>
    <row r="13" spans="1:3">
      <c r="A13" s="390">
        <v>44930</v>
      </c>
      <c r="B13" s="181">
        <v>1240</v>
      </c>
      <c r="C13" s="330">
        <v>10.5</v>
      </c>
    </row>
    <row r="14" spans="1:3">
      <c r="A14" s="390">
        <v>44930</v>
      </c>
      <c r="B14" s="181">
        <v>1241</v>
      </c>
      <c r="C14" s="330">
        <v>11.75</v>
      </c>
    </row>
    <row r="15" spans="1:3">
      <c r="A15" s="390">
        <v>44930</v>
      </c>
      <c r="B15" s="181">
        <v>1242</v>
      </c>
      <c r="C15" s="330">
        <v>9</v>
      </c>
    </row>
    <row r="16" spans="1:3">
      <c r="A16" s="390">
        <v>44930</v>
      </c>
      <c r="B16" s="181">
        <v>1243</v>
      </c>
      <c r="C16" s="330">
        <v>9</v>
      </c>
    </row>
    <row r="17" spans="1:3">
      <c r="A17" s="390">
        <v>44930</v>
      </c>
      <c r="B17" s="181">
        <v>1244</v>
      </c>
      <c r="C17" s="330">
        <v>12.5</v>
      </c>
    </row>
    <row r="18" spans="1:3">
      <c r="A18" s="390">
        <v>44930</v>
      </c>
      <c r="B18" s="181">
        <v>1245</v>
      </c>
      <c r="C18" s="330">
        <v>9.25</v>
      </c>
    </row>
    <row r="19" spans="1:3">
      <c r="A19" s="390">
        <v>44930</v>
      </c>
      <c r="B19" s="181">
        <v>1246</v>
      </c>
      <c r="C19" s="330">
        <v>10.5</v>
      </c>
    </row>
    <row r="20" spans="1:3">
      <c r="A20" s="390">
        <v>44930</v>
      </c>
      <c r="B20" s="181">
        <v>1247</v>
      </c>
      <c r="C20" s="330">
        <v>10.5</v>
      </c>
    </row>
    <row r="21" spans="1:3">
      <c r="A21" s="391">
        <v>44932</v>
      </c>
      <c r="B21" s="166">
        <v>1248</v>
      </c>
      <c r="C21" s="340">
        <v>12.75</v>
      </c>
    </row>
    <row r="22" spans="1:3">
      <c r="A22" s="391">
        <v>44932</v>
      </c>
      <c r="B22" s="166">
        <v>1249</v>
      </c>
      <c r="C22" s="340">
        <v>9.75</v>
      </c>
    </row>
    <row r="23" spans="1:3">
      <c r="A23" s="391">
        <v>44932</v>
      </c>
      <c r="B23" s="166">
        <v>1250</v>
      </c>
      <c r="C23" s="340">
        <v>12.5</v>
      </c>
    </row>
    <row r="24" spans="1:3">
      <c r="A24" s="391">
        <v>44932</v>
      </c>
      <c r="B24" s="166">
        <v>1251</v>
      </c>
      <c r="C24" s="340">
        <v>12.5</v>
      </c>
    </row>
    <row r="25" spans="1:3">
      <c r="A25" s="391">
        <v>44932</v>
      </c>
      <c r="B25" s="166">
        <v>1252</v>
      </c>
      <c r="C25" s="340">
        <v>14.75</v>
      </c>
    </row>
    <row r="26" spans="1:3">
      <c r="A26" s="391">
        <v>44932</v>
      </c>
      <c r="B26" s="166">
        <v>1253</v>
      </c>
      <c r="C26" s="340">
        <v>11.5</v>
      </c>
    </row>
    <row r="27" spans="1:3">
      <c r="A27" s="391">
        <v>44932</v>
      </c>
      <c r="B27" s="166">
        <v>1254</v>
      </c>
      <c r="C27" s="340">
        <v>10</v>
      </c>
    </row>
    <row r="28" spans="1:3">
      <c r="A28" s="391">
        <v>44932</v>
      </c>
      <c r="B28" s="166">
        <v>1255</v>
      </c>
      <c r="C28" s="340">
        <v>10</v>
      </c>
    </row>
    <row r="29" spans="1:3">
      <c r="A29" s="391">
        <v>44932</v>
      </c>
      <c r="B29" s="166">
        <v>1256</v>
      </c>
      <c r="C29" s="340">
        <v>10</v>
      </c>
    </row>
    <row r="30" spans="1:3">
      <c r="A30" s="391">
        <v>44932</v>
      </c>
      <c r="B30" s="166">
        <v>1257</v>
      </c>
      <c r="C30" s="340">
        <v>10</v>
      </c>
    </row>
    <row r="31" spans="1:3">
      <c r="A31" s="391">
        <v>44932</v>
      </c>
      <c r="B31" s="166">
        <v>1258</v>
      </c>
      <c r="C31" s="340">
        <v>11</v>
      </c>
    </row>
    <row r="32" spans="1:3">
      <c r="A32" s="391">
        <v>44932</v>
      </c>
      <c r="B32" s="166">
        <v>1259</v>
      </c>
      <c r="C32" s="340">
        <v>10</v>
      </c>
    </row>
    <row r="33" spans="1:3">
      <c r="A33" s="391">
        <v>44932</v>
      </c>
      <c r="B33" s="166">
        <v>1260</v>
      </c>
      <c r="C33" s="340">
        <v>10</v>
      </c>
    </row>
    <row r="34" spans="1:3">
      <c r="A34" s="391">
        <v>44932</v>
      </c>
      <c r="B34" s="166">
        <v>1261</v>
      </c>
      <c r="C34" s="340">
        <v>10.75</v>
      </c>
    </row>
    <row r="35" spans="1:3">
      <c r="A35" s="391">
        <v>44932</v>
      </c>
      <c r="B35" s="166">
        <v>1262</v>
      </c>
      <c r="C35" s="340">
        <v>10.75</v>
      </c>
    </row>
    <row r="36" spans="1:3">
      <c r="A36" s="391">
        <v>44932</v>
      </c>
      <c r="B36" s="166">
        <v>1263</v>
      </c>
      <c r="C36" s="340">
        <v>10.75</v>
      </c>
    </row>
    <row r="37" spans="1:3">
      <c r="A37" s="391">
        <v>44932</v>
      </c>
      <c r="B37" s="166">
        <v>1264</v>
      </c>
      <c r="C37" s="340">
        <v>10.75</v>
      </c>
    </row>
    <row r="38" spans="1:3">
      <c r="A38" s="391">
        <v>44932</v>
      </c>
      <c r="B38" s="166">
        <v>1265</v>
      </c>
      <c r="C38" s="340">
        <v>12</v>
      </c>
    </row>
    <row r="39" spans="1:3">
      <c r="A39" s="391">
        <v>44932</v>
      </c>
      <c r="B39" s="166">
        <v>1266</v>
      </c>
      <c r="C39" s="340">
        <v>10.75</v>
      </c>
    </row>
    <row r="40" spans="1:3">
      <c r="A40" s="391">
        <v>44932</v>
      </c>
      <c r="B40" s="166">
        <v>1267</v>
      </c>
      <c r="C40" s="340">
        <v>10</v>
      </c>
    </row>
    <row r="41" spans="1:3">
      <c r="A41" s="391">
        <v>44932</v>
      </c>
      <c r="B41" s="166">
        <v>1268</v>
      </c>
      <c r="C41" s="340">
        <v>12</v>
      </c>
    </row>
    <row r="42" spans="1:3">
      <c r="A42" s="391">
        <v>44932</v>
      </c>
      <c r="B42" s="166">
        <v>1269</v>
      </c>
      <c r="C42" s="340">
        <v>10.75</v>
      </c>
    </row>
    <row r="43" spans="1:3">
      <c r="A43" s="391">
        <v>44932</v>
      </c>
      <c r="B43" s="166">
        <v>1270</v>
      </c>
      <c r="C43" s="340">
        <v>10</v>
      </c>
    </row>
    <row r="44" spans="1:3">
      <c r="A44" s="391">
        <v>44932</v>
      </c>
      <c r="B44" s="166">
        <v>1271</v>
      </c>
      <c r="C44" s="340">
        <v>11</v>
      </c>
    </row>
    <row r="45" spans="1:3">
      <c r="A45" s="391">
        <v>44932</v>
      </c>
      <c r="B45" s="166">
        <v>1272</v>
      </c>
      <c r="C45" s="340">
        <v>10.75</v>
      </c>
    </row>
    <row r="46" spans="1:3">
      <c r="A46" s="391">
        <v>44932</v>
      </c>
      <c r="B46" s="166">
        <v>1273</v>
      </c>
      <c r="C46" s="340">
        <v>10</v>
      </c>
    </row>
    <row r="47" spans="1:3">
      <c r="A47" s="391">
        <v>44932</v>
      </c>
      <c r="B47" s="166">
        <v>1274</v>
      </c>
      <c r="C47" s="340">
        <v>12.75</v>
      </c>
    </row>
    <row r="48" spans="1:3">
      <c r="A48" s="391">
        <v>44932</v>
      </c>
      <c r="B48" s="166">
        <v>1275</v>
      </c>
      <c r="C48" s="340">
        <v>11.5</v>
      </c>
    </row>
    <row r="49" spans="1:3">
      <c r="A49" s="391">
        <v>44932</v>
      </c>
      <c r="B49" s="166">
        <v>1276</v>
      </c>
      <c r="C49" s="340">
        <v>9.75</v>
      </c>
    </row>
    <row r="50" spans="1:3">
      <c r="A50" s="391">
        <v>44932</v>
      </c>
      <c r="B50" s="166">
        <v>1277</v>
      </c>
      <c r="C50" s="340">
        <v>10</v>
      </c>
    </row>
    <row r="51" spans="1:3">
      <c r="A51" s="391">
        <v>44932</v>
      </c>
      <c r="B51" s="166">
        <v>1278</v>
      </c>
      <c r="C51" s="340">
        <v>10</v>
      </c>
    </row>
    <row r="52" spans="1:3">
      <c r="A52" s="391">
        <v>44932</v>
      </c>
      <c r="B52" s="166">
        <v>1279</v>
      </c>
      <c r="C52" s="340">
        <v>10</v>
      </c>
    </row>
    <row r="53" spans="1:3">
      <c r="A53" s="391">
        <v>44932</v>
      </c>
      <c r="B53" s="166">
        <v>1280</v>
      </c>
      <c r="C53" s="340">
        <v>9.5</v>
      </c>
    </row>
    <row r="54" spans="1:3">
      <c r="A54" s="391">
        <v>44932</v>
      </c>
      <c r="B54" s="166">
        <v>1281</v>
      </c>
      <c r="C54" s="340">
        <v>12.5</v>
      </c>
    </row>
    <row r="55" spans="1:3">
      <c r="A55" s="391">
        <v>44932</v>
      </c>
      <c r="B55" s="166">
        <v>1282</v>
      </c>
      <c r="C55" s="340">
        <v>11</v>
      </c>
    </row>
    <row r="56" spans="1:3">
      <c r="A56" s="391">
        <v>44932</v>
      </c>
      <c r="B56" s="166">
        <v>1283</v>
      </c>
      <c r="C56" s="340">
        <v>12</v>
      </c>
    </row>
    <row r="57" spans="1:3">
      <c r="A57" s="391">
        <v>44932</v>
      </c>
      <c r="B57" s="166">
        <v>1284</v>
      </c>
      <c r="C57" s="340">
        <v>13</v>
      </c>
    </row>
    <row r="58" spans="1:3">
      <c r="A58" s="391">
        <v>44932</v>
      </c>
      <c r="B58" s="166">
        <v>1285</v>
      </c>
      <c r="C58" s="340">
        <v>10</v>
      </c>
    </row>
    <row r="59" spans="1:3">
      <c r="A59" s="391">
        <v>44932</v>
      </c>
      <c r="B59" s="166">
        <v>1286</v>
      </c>
      <c r="C59" s="340">
        <v>12</v>
      </c>
    </row>
    <row r="60" spans="1:3">
      <c r="A60" s="391">
        <v>44932</v>
      </c>
      <c r="B60" s="166">
        <v>1287</v>
      </c>
      <c r="C60" s="340">
        <v>12</v>
      </c>
    </row>
    <row r="61" spans="1:3">
      <c r="A61" s="391">
        <v>44932</v>
      </c>
      <c r="B61" s="166">
        <v>1288</v>
      </c>
      <c r="C61" s="340">
        <v>12</v>
      </c>
    </row>
    <row r="62" spans="1:3">
      <c r="A62" s="391">
        <v>44932</v>
      </c>
      <c r="B62" s="166">
        <v>1289</v>
      </c>
      <c r="C62" s="340">
        <v>12</v>
      </c>
    </row>
    <row r="63" spans="1:3">
      <c r="A63" s="391">
        <v>44932</v>
      </c>
      <c r="B63" s="166">
        <v>1290</v>
      </c>
      <c r="C63" s="340">
        <v>10</v>
      </c>
    </row>
    <row r="64" spans="1:3">
      <c r="A64" s="390">
        <v>44937</v>
      </c>
      <c r="B64" s="181">
        <v>1291</v>
      </c>
      <c r="C64" s="330">
        <v>10.25</v>
      </c>
    </row>
    <row r="65" spans="1:3">
      <c r="A65" s="390">
        <v>44937</v>
      </c>
      <c r="B65" s="181">
        <v>1292</v>
      </c>
      <c r="C65" s="330">
        <v>10</v>
      </c>
    </row>
    <row r="66" spans="1:3">
      <c r="A66" s="390">
        <v>44937</v>
      </c>
      <c r="B66" s="181">
        <v>1293</v>
      </c>
      <c r="C66" s="330">
        <v>12</v>
      </c>
    </row>
    <row r="67" spans="1:3">
      <c r="A67" s="390">
        <v>44937</v>
      </c>
      <c r="B67" s="181">
        <v>1294</v>
      </c>
      <c r="C67" s="330">
        <v>12</v>
      </c>
    </row>
    <row r="68" spans="1:3">
      <c r="A68" s="390">
        <v>44937</v>
      </c>
      <c r="B68" s="181">
        <v>1295</v>
      </c>
      <c r="C68" s="330">
        <v>10.25</v>
      </c>
    </row>
    <row r="69" spans="1:3">
      <c r="A69" s="390">
        <v>44937</v>
      </c>
      <c r="B69" s="181">
        <v>1296</v>
      </c>
      <c r="C69" s="330">
        <v>11</v>
      </c>
    </row>
    <row r="70" spans="1:3">
      <c r="A70" s="390">
        <v>44937</v>
      </c>
      <c r="B70" s="181">
        <v>1297</v>
      </c>
      <c r="C70" s="330">
        <v>10</v>
      </c>
    </row>
    <row r="71" spans="1:3">
      <c r="A71" s="390">
        <v>44937</v>
      </c>
      <c r="B71" s="181">
        <v>1298</v>
      </c>
      <c r="C71" s="330">
        <v>12.25</v>
      </c>
    </row>
    <row r="72" spans="1:3">
      <c r="A72" s="390">
        <v>44937</v>
      </c>
      <c r="B72" s="181">
        <v>1299</v>
      </c>
      <c r="C72" s="330">
        <v>13</v>
      </c>
    </row>
    <row r="73" spans="1:3">
      <c r="A73" s="390">
        <v>44937</v>
      </c>
      <c r="B73" s="181">
        <v>1300</v>
      </c>
      <c r="C73" s="330">
        <v>10</v>
      </c>
    </row>
    <row r="74" spans="1:3">
      <c r="A74" s="390">
        <v>44937</v>
      </c>
      <c r="B74" s="181">
        <v>1301</v>
      </c>
      <c r="C74" s="330">
        <v>11</v>
      </c>
    </row>
    <row r="75" spans="1:3">
      <c r="A75" s="390">
        <v>44937</v>
      </c>
      <c r="B75" s="181">
        <v>1302</v>
      </c>
      <c r="C75" s="330">
        <v>11</v>
      </c>
    </row>
    <row r="76" spans="1:3">
      <c r="A76" s="390">
        <v>44937</v>
      </c>
      <c r="B76" s="181">
        <v>1303</v>
      </c>
      <c r="C76" s="330">
        <v>9.75</v>
      </c>
    </row>
    <row r="77" spans="1:3">
      <c r="A77" s="390">
        <v>44937</v>
      </c>
      <c r="B77" s="181">
        <v>1304</v>
      </c>
      <c r="C77" s="330">
        <v>10.5</v>
      </c>
    </row>
    <row r="78" spans="1:3">
      <c r="A78" s="390">
        <v>44937</v>
      </c>
      <c r="B78" s="181">
        <v>1305</v>
      </c>
      <c r="C78" s="330">
        <v>10</v>
      </c>
    </row>
    <row r="79" spans="1:3">
      <c r="A79" s="390">
        <v>44937</v>
      </c>
      <c r="B79" s="181">
        <v>1306</v>
      </c>
      <c r="C79" s="330">
        <v>14.75</v>
      </c>
    </row>
    <row r="80" spans="1:3">
      <c r="A80" s="390">
        <v>44937</v>
      </c>
      <c r="B80" s="181">
        <v>1307</v>
      </c>
      <c r="C80" s="330">
        <v>12.5</v>
      </c>
    </row>
    <row r="81" spans="1:3">
      <c r="A81" s="390">
        <v>44937</v>
      </c>
      <c r="B81" s="181">
        <v>1308</v>
      </c>
      <c r="C81" s="330">
        <v>10.25</v>
      </c>
    </row>
    <row r="82" spans="1:3">
      <c r="A82" s="390">
        <v>44937</v>
      </c>
      <c r="B82" s="181">
        <v>1309</v>
      </c>
      <c r="C82" s="330">
        <v>10</v>
      </c>
    </row>
    <row r="83" spans="1:3">
      <c r="A83" s="390">
        <v>44937</v>
      </c>
      <c r="B83" s="181">
        <v>1310</v>
      </c>
      <c r="C83" s="330">
        <v>11</v>
      </c>
    </row>
    <row r="84" spans="1:3">
      <c r="A84" s="390">
        <v>44937</v>
      </c>
      <c r="B84" s="181">
        <v>1311</v>
      </c>
      <c r="C84" s="330">
        <v>10</v>
      </c>
    </row>
    <row r="85" spans="1:3">
      <c r="A85" s="390">
        <v>44937</v>
      </c>
      <c r="B85" s="181">
        <v>1312</v>
      </c>
      <c r="C85" s="330">
        <v>12.25</v>
      </c>
    </row>
    <row r="86" spans="1:3">
      <c r="A86" s="390">
        <v>44937</v>
      </c>
      <c r="B86" s="181">
        <v>1313</v>
      </c>
      <c r="C86" s="330">
        <v>12</v>
      </c>
    </row>
    <row r="87" spans="1:3">
      <c r="A87" s="390">
        <v>44937</v>
      </c>
      <c r="B87" s="181">
        <v>1314</v>
      </c>
      <c r="C87" s="330">
        <v>12</v>
      </c>
    </row>
    <row r="88" spans="1:3">
      <c r="A88" s="392">
        <v>44939</v>
      </c>
      <c r="B88" s="250">
        <v>1315</v>
      </c>
      <c r="C88" s="251">
        <v>13.5</v>
      </c>
    </row>
    <row r="89" spans="1:3">
      <c r="A89" s="392">
        <v>44939</v>
      </c>
      <c r="B89" s="250">
        <v>1316</v>
      </c>
      <c r="C89" s="251">
        <v>11.5</v>
      </c>
    </row>
    <row r="90" spans="1:3">
      <c r="A90" s="392">
        <v>44939</v>
      </c>
      <c r="B90" s="250">
        <v>1317</v>
      </c>
      <c r="C90" s="251">
        <v>11</v>
      </c>
    </row>
    <row r="91" spans="1:3">
      <c r="A91" s="392">
        <v>44939</v>
      </c>
      <c r="B91" s="250">
        <v>1318</v>
      </c>
      <c r="C91" s="251">
        <v>12.5</v>
      </c>
    </row>
    <row r="92" spans="1:3">
      <c r="A92" s="392">
        <v>44939</v>
      </c>
      <c r="B92" s="250">
        <v>1319</v>
      </c>
      <c r="C92" s="251">
        <v>11.25</v>
      </c>
    </row>
    <row r="93" spans="1:3">
      <c r="A93" s="392">
        <v>44939</v>
      </c>
      <c r="B93" s="250">
        <v>1320</v>
      </c>
      <c r="C93" s="251">
        <v>9</v>
      </c>
    </row>
    <row r="94" spans="1:3">
      <c r="A94" s="392">
        <v>44939</v>
      </c>
      <c r="B94" s="250">
        <v>1321</v>
      </c>
      <c r="C94" s="251">
        <v>11.75</v>
      </c>
    </row>
    <row r="95" spans="1:3">
      <c r="A95" s="392">
        <v>44939</v>
      </c>
      <c r="B95" s="250">
        <v>1322</v>
      </c>
      <c r="C95" s="251">
        <v>12</v>
      </c>
    </row>
    <row r="96" spans="1:3">
      <c r="A96" s="392">
        <v>44939</v>
      </c>
      <c r="B96" s="250">
        <v>1323</v>
      </c>
      <c r="C96" s="251">
        <v>14.5</v>
      </c>
    </row>
    <row r="97" spans="1:3">
      <c r="A97" s="392">
        <v>44939</v>
      </c>
      <c r="B97" s="250">
        <v>1324</v>
      </c>
      <c r="C97" s="251">
        <v>12</v>
      </c>
    </row>
    <row r="98" spans="1:3">
      <c r="A98" s="392">
        <v>44939</v>
      </c>
      <c r="B98" s="250">
        <v>1325</v>
      </c>
      <c r="C98" s="251">
        <v>8.5</v>
      </c>
    </row>
    <row r="99" spans="1:3">
      <c r="A99" s="392">
        <v>44939</v>
      </c>
      <c r="B99" s="250">
        <v>1326</v>
      </c>
      <c r="C99" s="251">
        <v>15</v>
      </c>
    </row>
    <row r="100" spans="1:3">
      <c r="A100" s="392">
        <v>44939</v>
      </c>
      <c r="B100" s="250">
        <v>1327</v>
      </c>
      <c r="C100" s="251">
        <v>12.75</v>
      </c>
    </row>
    <row r="101" spans="1:3">
      <c r="A101" s="392">
        <v>44939</v>
      </c>
      <c r="B101" s="250">
        <v>1328</v>
      </c>
      <c r="C101" s="251">
        <v>9.75</v>
      </c>
    </row>
    <row r="102" spans="1:3">
      <c r="A102" s="392">
        <v>44939</v>
      </c>
      <c r="B102" s="250">
        <v>1329</v>
      </c>
      <c r="C102" s="251">
        <v>12.75</v>
      </c>
    </row>
    <row r="103" spans="1:3">
      <c r="A103" s="392">
        <v>44939</v>
      </c>
      <c r="B103" s="250">
        <v>1330</v>
      </c>
      <c r="C103" s="251">
        <v>9.5</v>
      </c>
    </row>
    <row r="104" spans="1:3">
      <c r="A104" s="392">
        <v>44939</v>
      </c>
      <c r="B104" s="250">
        <v>1331</v>
      </c>
      <c r="C104" s="251">
        <v>9</v>
      </c>
    </row>
    <row r="105" spans="1:3">
      <c r="A105" s="392">
        <v>44939</v>
      </c>
      <c r="B105" s="250">
        <v>1332</v>
      </c>
      <c r="C105" s="251">
        <v>12.25</v>
      </c>
    </row>
    <row r="106" spans="1:3">
      <c r="A106" s="392">
        <v>44939</v>
      </c>
      <c r="B106" s="250">
        <v>1333</v>
      </c>
      <c r="C106" s="251">
        <v>12</v>
      </c>
    </row>
    <row r="107" spans="1:3">
      <c r="A107" s="392">
        <v>44939</v>
      </c>
      <c r="B107" s="250">
        <v>1334</v>
      </c>
      <c r="C107" s="251">
        <v>12.5</v>
      </c>
    </row>
    <row r="108" spans="1:3">
      <c r="A108" s="392">
        <v>44939</v>
      </c>
      <c r="B108" s="250">
        <v>1335</v>
      </c>
      <c r="C108" s="251">
        <v>8</v>
      </c>
    </row>
    <row r="109" spans="1:3">
      <c r="A109" s="392">
        <v>44939</v>
      </c>
      <c r="B109" s="250">
        <v>1336</v>
      </c>
      <c r="C109" s="251">
        <v>12</v>
      </c>
    </row>
    <row r="110" spans="1:3">
      <c r="A110" s="392">
        <v>44939</v>
      </c>
      <c r="B110" s="250">
        <v>1337</v>
      </c>
      <c r="C110" s="251">
        <v>8.5</v>
      </c>
    </row>
    <row r="111" spans="1:3">
      <c r="A111" s="392">
        <v>44939</v>
      </c>
      <c r="B111" s="250">
        <v>1338</v>
      </c>
      <c r="C111" s="251">
        <v>9.25</v>
      </c>
    </row>
    <row r="112" spans="1:3">
      <c r="A112" s="392">
        <v>44939</v>
      </c>
      <c r="B112" s="250">
        <v>1339</v>
      </c>
      <c r="C112" s="251">
        <v>11.5</v>
      </c>
    </row>
    <row r="113" spans="1:3">
      <c r="A113" s="392">
        <v>44939</v>
      </c>
      <c r="B113" s="250">
        <v>1340</v>
      </c>
      <c r="C113" s="251">
        <v>8.75</v>
      </c>
    </row>
    <row r="114" spans="1:3">
      <c r="A114" s="392">
        <v>44939</v>
      </c>
      <c r="B114" s="250">
        <v>1341</v>
      </c>
      <c r="C114" s="251">
        <v>12</v>
      </c>
    </row>
    <row r="115" spans="1:3">
      <c r="A115" s="392">
        <v>44939</v>
      </c>
      <c r="B115" s="250">
        <v>1342</v>
      </c>
      <c r="C115" s="251">
        <v>8</v>
      </c>
    </row>
    <row r="116" spans="1:3">
      <c r="A116" s="392">
        <v>44939</v>
      </c>
      <c r="B116" s="250">
        <v>1343</v>
      </c>
      <c r="C116" s="251">
        <v>14.75</v>
      </c>
    </row>
    <row r="117" spans="1:3">
      <c r="A117" s="392">
        <v>44939</v>
      </c>
      <c r="B117" s="250">
        <v>1344</v>
      </c>
      <c r="C117" s="251">
        <v>11.25</v>
      </c>
    </row>
    <row r="118" spans="1:3">
      <c r="A118" s="392">
        <v>44939</v>
      </c>
      <c r="B118" s="250">
        <v>1345</v>
      </c>
      <c r="C118" s="251">
        <v>15.75</v>
      </c>
    </row>
    <row r="119" spans="1:3">
      <c r="A119" s="392">
        <v>44939</v>
      </c>
      <c r="B119" s="250">
        <v>1346</v>
      </c>
      <c r="C119" s="251">
        <v>13</v>
      </c>
    </row>
    <row r="120" spans="1:3">
      <c r="A120" s="392">
        <v>44939</v>
      </c>
      <c r="B120" s="250">
        <v>1347</v>
      </c>
      <c r="C120" s="251">
        <v>11</v>
      </c>
    </row>
    <row r="121" spans="1:3">
      <c r="A121" s="392">
        <v>44939</v>
      </c>
      <c r="B121" s="250">
        <v>1348</v>
      </c>
      <c r="C121" s="251">
        <v>14.75</v>
      </c>
    </row>
    <row r="122" spans="1:3">
      <c r="A122" s="392">
        <v>44939</v>
      </c>
      <c r="B122" s="250">
        <v>1349</v>
      </c>
      <c r="C122" s="251">
        <v>13.5</v>
      </c>
    </row>
    <row r="123" spans="1:3">
      <c r="A123" s="392">
        <v>44939</v>
      </c>
      <c r="B123" s="250">
        <v>1350</v>
      </c>
      <c r="C123" s="251">
        <v>9.75</v>
      </c>
    </row>
    <row r="124" spans="1:3">
      <c r="A124" s="393">
        <v>44944</v>
      </c>
      <c r="B124" s="193">
        <v>1351</v>
      </c>
      <c r="C124" s="194">
        <v>12.5</v>
      </c>
    </row>
    <row r="125" spans="1:3">
      <c r="A125" s="393">
        <v>44944</v>
      </c>
      <c r="B125" s="193">
        <v>1352</v>
      </c>
      <c r="C125" s="194">
        <v>13</v>
      </c>
    </row>
    <row r="126" spans="1:3">
      <c r="A126" s="393">
        <v>44944</v>
      </c>
      <c r="B126" s="193">
        <v>1353</v>
      </c>
      <c r="C126" s="194">
        <v>10.5</v>
      </c>
    </row>
    <row r="127" spans="1:3">
      <c r="A127" s="393">
        <v>44944</v>
      </c>
      <c r="B127" s="193">
        <v>1354</v>
      </c>
      <c r="C127" s="194">
        <v>10</v>
      </c>
    </row>
    <row r="128" spans="1:3">
      <c r="A128" s="393">
        <v>44944</v>
      </c>
      <c r="B128" s="193">
        <v>1355</v>
      </c>
      <c r="C128" s="194">
        <v>10</v>
      </c>
    </row>
    <row r="129" spans="1:3">
      <c r="A129" s="393">
        <v>44944</v>
      </c>
      <c r="B129" s="193">
        <v>1356</v>
      </c>
      <c r="C129" s="194">
        <v>12.75</v>
      </c>
    </row>
    <row r="130" spans="1:3">
      <c r="A130" s="393">
        <v>44944</v>
      </c>
      <c r="B130" s="193">
        <v>1357</v>
      </c>
      <c r="C130" s="194">
        <v>12</v>
      </c>
    </row>
    <row r="131" spans="1:3">
      <c r="A131" s="393">
        <v>44944</v>
      </c>
      <c r="B131" s="193">
        <v>1358</v>
      </c>
      <c r="C131" s="194">
        <v>8.75</v>
      </c>
    </row>
    <row r="132" spans="1:3">
      <c r="A132" s="393">
        <v>44944</v>
      </c>
      <c r="B132" s="193">
        <v>1359</v>
      </c>
      <c r="C132" s="194">
        <v>8</v>
      </c>
    </row>
    <row r="133" spans="1:3">
      <c r="A133" s="393">
        <v>44944</v>
      </c>
      <c r="B133" s="193">
        <v>1360</v>
      </c>
      <c r="C133" s="194">
        <v>7</v>
      </c>
    </row>
    <row r="134" spans="1:3">
      <c r="A134" s="393">
        <v>44944</v>
      </c>
      <c r="B134" s="193">
        <v>1361</v>
      </c>
      <c r="C134" s="194">
        <v>8</v>
      </c>
    </row>
    <row r="135" spans="1:3">
      <c r="A135" s="393">
        <v>44944</v>
      </c>
      <c r="B135" s="193">
        <v>1362</v>
      </c>
      <c r="C135" s="194">
        <v>9</v>
      </c>
    </row>
    <row r="136" spans="1:3">
      <c r="A136" s="393">
        <v>44944</v>
      </c>
      <c r="B136" s="193">
        <v>1363</v>
      </c>
      <c r="C136" s="194">
        <v>13.5</v>
      </c>
    </row>
    <row r="137" spans="1:3">
      <c r="A137" s="393">
        <v>44944</v>
      </c>
      <c r="B137" s="193">
        <v>1364</v>
      </c>
      <c r="C137" s="194">
        <v>11.5</v>
      </c>
    </row>
    <row r="138" spans="1:3">
      <c r="A138" s="393">
        <v>44944</v>
      </c>
      <c r="B138" s="193">
        <v>1365</v>
      </c>
      <c r="C138" s="194">
        <v>10</v>
      </c>
    </row>
    <row r="139" spans="1:3">
      <c r="A139" s="393">
        <v>44944</v>
      </c>
      <c r="B139" s="193">
        <v>1366</v>
      </c>
      <c r="C139" s="194">
        <v>9.75</v>
      </c>
    </row>
    <row r="140" spans="1:3">
      <c r="A140" s="393">
        <v>44944</v>
      </c>
      <c r="B140" s="193">
        <v>1367</v>
      </c>
      <c r="C140" s="194">
        <v>11.75</v>
      </c>
    </row>
    <row r="141" spans="1:3">
      <c r="A141" s="393">
        <v>44944</v>
      </c>
      <c r="B141" s="193">
        <v>1368</v>
      </c>
      <c r="C141" s="194">
        <v>9.5</v>
      </c>
    </row>
    <row r="142" spans="1:3">
      <c r="A142" s="393">
        <v>44944</v>
      </c>
      <c r="B142" s="193">
        <v>1369</v>
      </c>
      <c r="C142" s="194">
        <v>10.5</v>
      </c>
    </row>
    <row r="143" spans="1:3">
      <c r="A143" s="393">
        <v>44944</v>
      </c>
      <c r="B143" s="193">
        <v>1370</v>
      </c>
      <c r="C143" s="194">
        <v>11.25</v>
      </c>
    </row>
    <row r="144" spans="1:3">
      <c r="A144" s="393">
        <v>44944</v>
      </c>
      <c r="B144" s="193">
        <v>1371</v>
      </c>
      <c r="C144" s="194">
        <v>9.5</v>
      </c>
    </row>
    <row r="145" spans="1:3">
      <c r="A145" s="393">
        <v>44944</v>
      </c>
      <c r="B145" s="193">
        <v>1372</v>
      </c>
      <c r="C145" s="194">
        <v>10</v>
      </c>
    </row>
    <row r="146" spans="1:3">
      <c r="A146" s="393">
        <v>44944</v>
      </c>
      <c r="B146" s="193">
        <v>1373</v>
      </c>
      <c r="C146" s="194">
        <v>12.5</v>
      </c>
    </row>
    <row r="147" spans="1:3">
      <c r="A147" s="393">
        <v>44944</v>
      </c>
      <c r="B147" s="193">
        <v>1374</v>
      </c>
      <c r="C147" s="194">
        <v>10</v>
      </c>
    </row>
    <row r="148" spans="1:3">
      <c r="A148" s="393">
        <v>44944</v>
      </c>
      <c r="B148" s="193">
        <v>1375</v>
      </c>
      <c r="C148" s="194">
        <v>10.25</v>
      </c>
    </row>
    <row r="149" spans="1:3">
      <c r="A149" s="393">
        <v>44944</v>
      </c>
      <c r="B149" s="193">
        <v>1376</v>
      </c>
      <c r="C149" s="194">
        <v>10</v>
      </c>
    </row>
    <row r="150" spans="1:3">
      <c r="A150" s="393">
        <v>44944</v>
      </c>
      <c r="B150" s="193">
        <v>1377</v>
      </c>
      <c r="C150" s="194">
        <v>7.75</v>
      </c>
    </row>
    <row r="151" spans="1:3">
      <c r="A151" s="393">
        <v>44944</v>
      </c>
      <c r="B151" s="193">
        <v>1378</v>
      </c>
      <c r="C151" s="194">
        <v>11.75</v>
      </c>
    </row>
    <row r="152" spans="1:3">
      <c r="A152" s="393">
        <v>44944</v>
      </c>
      <c r="B152" s="193">
        <v>1379</v>
      </c>
      <c r="C152" s="194">
        <v>10</v>
      </c>
    </row>
    <row r="153" spans="1:3">
      <c r="A153" s="394">
        <v>44946</v>
      </c>
      <c r="B153" s="253">
        <v>1380</v>
      </c>
      <c r="C153" s="254">
        <v>11.5</v>
      </c>
    </row>
    <row r="154" spans="1:3">
      <c r="A154" s="394">
        <v>44946</v>
      </c>
      <c r="B154" s="253">
        <v>1381</v>
      </c>
      <c r="C154" s="254">
        <v>9</v>
      </c>
    </row>
    <row r="155" spans="1:3">
      <c r="A155" s="394">
        <v>44946</v>
      </c>
      <c r="B155" s="253">
        <v>1382</v>
      </c>
      <c r="C155" s="254">
        <v>9</v>
      </c>
    </row>
    <row r="156" spans="1:3">
      <c r="A156" s="394">
        <v>44946</v>
      </c>
      <c r="B156" s="253">
        <v>1383</v>
      </c>
      <c r="C156" s="254">
        <v>8.25</v>
      </c>
    </row>
    <row r="157" spans="1:3">
      <c r="A157" s="394">
        <v>44946</v>
      </c>
      <c r="B157" s="253">
        <v>1384</v>
      </c>
      <c r="C157" s="254">
        <v>12</v>
      </c>
    </row>
    <row r="158" spans="1:3">
      <c r="A158" s="394">
        <v>44946</v>
      </c>
      <c r="B158" s="253">
        <v>1385</v>
      </c>
      <c r="C158" s="254">
        <v>12</v>
      </c>
    </row>
    <row r="159" spans="1:3">
      <c r="A159" s="394">
        <v>44946</v>
      </c>
      <c r="B159" s="253">
        <v>1386</v>
      </c>
      <c r="C159" s="254">
        <v>13.25</v>
      </c>
    </row>
    <row r="160" spans="1:3">
      <c r="A160" s="394">
        <v>44946</v>
      </c>
      <c r="B160" s="253">
        <v>1387</v>
      </c>
      <c r="C160" s="254">
        <v>9</v>
      </c>
    </row>
    <row r="161" spans="1:3">
      <c r="A161" s="394">
        <v>44946</v>
      </c>
      <c r="B161" s="253">
        <v>1388</v>
      </c>
      <c r="C161" s="254">
        <v>9</v>
      </c>
    </row>
    <row r="162" spans="1:3">
      <c r="A162" s="394">
        <v>44946</v>
      </c>
      <c r="B162" s="253">
        <v>1389</v>
      </c>
      <c r="C162" s="254">
        <v>10.25</v>
      </c>
    </row>
    <row r="163" spans="1:3">
      <c r="A163" s="394">
        <v>44946</v>
      </c>
      <c r="B163" s="253">
        <v>1390</v>
      </c>
      <c r="C163" s="254">
        <v>13</v>
      </c>
    </row>
    <row r="164" spans="1:3">
      <c r="A164" s="394">
        <v>44946</v>
      </c>
      <c r="B164" s="253">
        <v>1391</v>
      </c>
      <c r="C164" s="254">
        <v>12</v>
      </c>
    </row>
    <row r="165" spans="1:3">
      <c r="A165" s="394">
        <v>44946</v>
      </c>
      <c r="B165" s="253">
        <v>1392</v>
      </c>
      <c r="C165" s="254">
        <v>10.5</v>
      </c>
    </row>
    <row r="166" spans="1:3">
      <c r="A166" s="394">
        <v>44946</v>
      </c>
      <c r="B166" s="253">
        <v>1393</v>
      </c>
      <c r="C166" s="254">
        <v>10</v>
      </c>
    </row>
    <row r="167" spans="1:3">
      <c r="A167" s="394">
        <v>44946</v>
      </c>
      <c r="B167" s="253">
        <v>1394</v>
      </c>
      <c r="C167" s="254">
        <v>10</v>
      </c>
    </row>
    <row r="168" spans="1:3">
      <c r="A168" s="394">
        <v>44946</v>
      </c>
      <c r="B168" s="253">
        <v>1395</v>
      </c>
      <c r="C168" s="254">
        <v>7.75</v>
      </c>
    </row>
    <row r="169" spans="1:3">
      <c r="A169" s="394">
        <v>44946</v>
      </c>
      <c r="B169" s="253">
        <v>1396</v>
      </c>
      <c r="C169" s="254">
        <v>12.25</v>
      </c>
    </row>
    <row r="170" spans="1:3">
      <c r="A170" s="394">
        <v>44946</v>
      </c>
      <c r="B170" s="253">
        <v>1397</v>
      </c>
      <c r="C170" s="254">
        <v>13</v>
      </c>
    </row>
    <row r="171" spans="1:3">
      <c r="A171" s="394">
        <v>44946</v>
      </c>
      <c r="B171" s="253">
        <v>1398</v>
      </c>
      <c r="C171" s="254">
        <v>12</v>
      </c>
    </row>
    <row r="172" spans="1:3">
      <c r="A172" s="394">
        <v>44946</v>
      </c>
      <c r="B172" s="253">
        <v>1399</v>
      </c>
      <c r="C172" s="254">
        <v>9.75</v>
      </c>
    </row>
    <row r="173" spans="1:3">
      <c r="A173" s="394">
        <v>44946</v>
      </c>
      <c r="B173" s="253">
        <v>1400</v>
      </c>
      <c r="C173" s="254">
        <v>13</v>
      </c>
    </row>
    <row r="174" spans="1:3">
      <c r="A174" s="394">
        <v>44946</v>
      </c>
      <c r="B174" s="253">
        <v>1401</v>
      </c>
      <c r="C174" s="254">
        <v>12</v>
      </c>
    </row>
    <row r="175" spans="1:3">
      <c r="A175" s="394">
        <v>44946</v>
      </c>
      <c r="B175" s="253">
        <v>1402</v>
      </c>
      <c r="C175" s="254">
        <v>12</v>
      </c>
    </row>
    <row r="176" spans="1:3">
      <c r="A176" s="394">
        <v>44946</v>
      </c>
      <c r="B176" s="253">
        <v>1403</v>
      </c>
      <c r="C176" s="254">
        <v>12.5</v>
      </c>
    </row>
    <row r="177" spans="1:3">
      <c r="A177" s="394">
        <v>44946</v>
      </c>
      <c r="B177" s="253">
        <v>1404</v>
      </c>
      <c r="C177" s="254">
        <v>12</v>
      </c>
    </row>
    <row r="178" spans="1:3">
      <c r="A178" s="394">
        <v>44946</v>
      </c>
      <c r="B178" s="253">
        <v>1405</v>
      </c>
      <c r="C178" s="254">
        <v>11.75</v>
      </c>
    </row>
    <row r="179" spans="1:3">
      <c r="A179" s="394">
        <v>44946</v>
      </c>
      <c r="B179" s="253">
        <v>1406</v>
      </c>
      <c r="C179" s="254">
        <v>14.25</v>
      </c>
    </row>
    <row r="180" spans="1:3">
      <c r="A180" s="394">
        <v>44946</v>
      </c>
      <c r="B180" s="253">
        <v>1407</v>
      </c>
      <c r="C180" s="254">
        <v>11.5</v>
      </c>
    </row>
    <row r="181" spans="1:3">
      <c r="A181" s="394">
        <v>44946</v>
      </c>
      <c r="B181" s="253">
        <v>1408</v>
      </c>
      <c r="C181" s="254">
        <v>10</v>
      </c>
    </row>
    <row r="182" spans="1:3">
      <c r="A182" s="394">
        <v>44946</v>
      </c>
      <c r="B182" s="253">
        <v>1409</v>
      </c>
      <c r="C182" s="254">
        <v>12.5</v>
      </c>
    </row>
    <row r="183" spans="1:3">
      <c r="A183" s="394">
        <v>44946</v>
      </c>
      <c r="B183" s="253">
        <v>1410</v>
      </c>
      <c r="C183" s="254">
        <v>12</v>
      </c>
    </row>
    <row r="184" spans="1:3">
      <c r="A184" s="394">
        <v>44946</v>
      </c>
      <c r="B184" s="253">
        <v>1411</v>
      </c>
      <c r="C184" s="254">
        <v>8</v>
      </c>
    </row>
    <row r="185" spans="1:3">
      <c r="A185" s="394">
        <v>44946</v>
      </c>
      <c r="B185" s="253">
        <v>1412</v>
      </c>
      <c r="C185" s="254">
        <v>10</v>
      </c>
    </row>
    <row r="186" spans="1:3">
      <c r="A186" s="394">
        <v>44946</v>
      </c>
      <c r="B186" s="253">
        <v>1413</v>
      </c>
      <c r="C186" s="254">
        <v>10</v>
      </c>
    </row>
    <row r="187" spans="1:3">
      <c r="A187" s="394">
        <v>44946</v>
      </c>
      <c r="B187" s="253">
        <v>1414</v>
      </c>
      <c r="C187" s="254">
        <v>10</v>
      </c>
    </row>
    <row r="188" spans="1:3">
      <c r="A188" s="394">
        <v>44946</v>
      </c>
      <c r="B188" s="253">
        <v>1415</v>
      </c>
      <c r="C188" s="254">
        <v>10</v>
      </c>
    </row>
    <row r="189" spans="1:3">
      <c r="A189" s="394">
        <v>44946</v>
      </c>
      <c r="B189" s="253">
        <v>1416</v>
      </c>
      <c r="C189" s="254">
        <v>10</v>
      </c>
    </row>
    <row r="190" spans="1:3">
      <c r="A190" s="394">
        <v>44946</v>
      </c>
      <c r="B190" s="253">
        <v>1417</v>
      </c>
      <c r="C190" s="254">
        <v>10</v>
      </c>
    </row>
    <row r="191" spans="1:3">
      <c r="A191" s="394">
        <v>44946</v>
      </c>
      <c r="B191" s="253">
        <v>1418</v>
      </c>
      <c r="C191" s="254">
        <v>10</v>
      </c>
    </row>
    <row r="192" spans="1:3">
      <c r="A192" s="394">
        <v>44946</v>
      </c>
      <c r="B192" s="253">
        <v>1419</v>
      </c>
      <c r="C192" s="254">
        <v>10</v>
      </c>
    </row>
    <row r="193" spans="1:3">
      <c r="A193" s="394">
        <v>44946</v>
      </c>
      <c r="B193" s="253">
        <v>1420</v>
      </c>
      <c r="C193" s="254">
        <v>10</v>
      </c>
    </row>
    <row r="194" spans="1:3">
      <c r="A194" s="395">
        <v>44951</v>
      </c>
      <c r="B194" s="196">
        <v>1421</v>
      </c>
      <c r="C194" s="197">
        <v>11.75</v>
      </c>
    </row>
    <row r="195" spans="1:3">
      <c r="A195" s="395">
        <v>44951</v>
      </c>
      <c r="B195" s="196">
        <v>1422</v>
      </c>
      <c r="C195" s="197">
        <v>9</v>
      </c>
    </row>
    <row r="196" spans="1:3">
      <c r="A196" s="395">
        <v>44951</v>
      </c>
      <c r="B196" s="196">
        <v>1423</v>
      </c>
      <c r="C196" s="197">
        <v>10</v>
      </c>
    </row>
    <row r="197" spans="1:3">
      <c r="A197" s="395">
        <v>44951</v>
      </c>
      <c r="B197" s="196">
        <v>1424</v>
      </c>
      <c r="C197" s="197">
        <v>11.25</v>
      </c>
    </row>
    <row r="198" spans="1:3">
      <c r="A198" s="395">
        <v>44951</v>
      </c>
      <c r="B198" s="196">
        <v>1425</v>
      </c>
      <c r="C198" s="197">
        <v>11.25</v>
      </c>
    </row>
    <row r="199" spans="1:3">
      <c r="A199" s="395">
        <v>44951</v>
      </c>
      <c r="B199" s="196">
        <v>1426</v>
      </c>
      <c r="C199" s="197">
        <v>12.25</v>
      </c>
    </row>
    <row r="200" spans="1:3">
      <c r="A200" s="395">
        <v>44951</v>
      </c>
      <c r="B200" s="196">
        <v>1427</v>
      </c>
      <c r="C200" s="197">
        <v>14</v>
      </c>
    </row>
    <row r="201" spans="1:3">
      <c r="A201" s="395">
        <v>44951</v>
      </c>
      <c r="B201" s="196">
        <v>1428</v>
      </c>
      <c r="C201" s="197">
        <v>10.5</v>
      </c>
    </row>
    <row r="202" spans="1:3">
      <c r="A202" s="395">
        <v>44951</v>
      </c>
      <c r="B202" s="196">
        <v>1429</v>
      </c>
      <c r="C202" s="197">
        <v>10</v>
      </c>
    </row>
    <row r="203" spans="1:3">
      <c r="A203" s="395">
        <v>44951</v>
      </c>
      <c r="B203" s="196">
        <v>1430</v>
      </c>
      <c r="C203" s="197">
        <v>12</v>
      </c>
    </row>
    <row r="204" spans="1:3">
      <c r="A204" s="395">
        <v>44951</v>
      </c>
      <c r="B204" s="196">
        <v>1431</v>
      </c>
      <c r="C204" s="197">
        <v>11.75</v>
      </c>
    </row>
    <row r="205" spans="1:3">
      <c r="A205" s="395">
        <v>44951</v>
      </c>
      <c r="B205" s="196">
        <v>1432</v>
      </c>
      <c r="C205" s="197">
        <v>14</v>
      </c>
    </row>
    <row r="206" spans="1:3">
      <c r="A206" s="395">
        <v>44951</v>
      </c>
      <c r="B206" s="196">
        <v>1433</v>
      </c>
      <c r="C206" s="197">
        <v>11.5</v>
      </c>
    </row>
    <row r="207" spans="1:3">
      <c r="A207" s="395">
        <v>44951</v>
      </c>
      <c r="B207" s="196">
        <v>1434</v>
      </c>
      <c r="C207" s="197">
        <v>11.5</v>
      </c>
    </row>
    <row r="208" spans="1:3">
      <c r="A208" s="395">
        <v>44951</v>
      </c>
      <c r="B208" s="196">
        <v>1435</v>
      </c>
      <c r="C208" s="197">
        <v>10.75</v>
      </c>
    </row>
    <row r="209" spans="1:3">
      <c r="A209" s="395">
        <v>44951</v>
      </c>
      <c r="B209" s="196">
        <v>1436</v>
      </c>
      <c r="C209" s="197">
        <v>10</v>
      </c>
    </row>
    <row r="210" spans="1:3">
      <c r="A210" s="395">
        <v>44951</v>
      </c>
      <c r="B210" s="196">
        <v>1437</v>
      </c>
      <c r="C210" s="197">
        <v>12.25</v>
      </c>
    </row>
    <row r="211" spans="1:3">
      <c r="A211" s="395">
        <v>44951</v>
      </c>
      <c r="B211" s="196">
        <v>1438</v>
      </c>
      <c r="C211" s="197">
        <v>12.75</v>
      </c>
    </row>
    <row r="212" spans="1:3">
      <c r="A212" s="395">
        <v>44951</v>
      </c>
      <c r="B212" s="196">
        <v>1439</v>
      </c>
      <c r="C212" s="197">
        <v>12.5</v>
      </c>
    </row>
    <row r="213" spans="1:3">
      <c r="A213" s="395">
        <v>44951</v>
      </c>
      <c r="B213" s="196">
        <v>1440</v>
      </c>
      <c r="C213" s="197">
        <v>11.5</v>
      </c>
    </row>
    <row r="214" spans="1:3">
      <c r="A214" s="395">
        <v>44951</v>
      </c>
      <c r="B214" s="196">
        <v>1441</v>
      </c>
      <c r="C214" s="197">
        <v>12.25</v>
      </c>
    </row>
    <row r="215" spans="1:3">
      <c r="A215" s="395">
        <v>44951</v>
      </c>
      <c r="B215" s="196">
        <v>1442</v>
      </c>
      <c r="C215" s="197">
        <v>12</v>
      </c>
    </row>
    <row r="216" spans="1:3">
      <c r="A216" s="395">
        <v>44951</v>
      </c>
      <c r="B216" s="196">
        <v>1443</v>
      </c>
      <c r="C216" s="197">
        <v>11</v>
      </c>
    </row>
    <row r="217" spans="1:3">
      <c r="A217" s="395">
        <v>44951</v>
      </c>
      <c r="B217" s="196">
        <v>1444</v>
      </c>
      <c r="C217" s="197">
        <v>10</v>
      </c>
    </row>
    <row r="218" spans="1:3">
      <c r="A218" s="395">
        <v>44951</v>
      </c>
      <c r="B218" s="196">
        <v>1445</v>
      </c>
      <c r="C218" s="197">
        <v>9.5</v>
      </c>
    </row>
    <row r="219" spans="1:3">
      <c r="A219" s="395">
        <v>44951</v>
      </c>
      <c r="B219" s="196">
        <v>1446</v>
      </c>
      <c r="C219" s="197">
        <v>9.25</v>
      </c>
    </row>
    <row r="220" spans="1:3">
      <c r="A220" s="395">
        <v>44951</v>
      </c>
      <c r="B220" s="196">
        <v>1447</v>
      </c>
      <c r="C220" s="197">
        <v>9</v>
      </c>
    </row>
    <row r="221" spans="1:3">
      <c r="A221" s="395">
        <v>44951</v>
      </c>
      <c r="B221" s="196">
        <v>1448</v>
      </c>
      <c r="C221" s="197">
        <v>9</v>
      </c>
    </row>
    <row r="222" spans="1:3">
      <c r="A222" s="395">
        <v>44951</v>
      </c>
      <c r="B222" s="196">
        <v>1449</v>
      </c>
      <c r="C222" s="197">
        <v>10.5</v>
      </c>
    </row>
    <row r="223" spans="1:3">
      <c r="A223" s="395">
        <v>44951</v>
      </c>
      <c r="B223" s="196">
        <v>1450</v>
      </c>
      <c r="C223" s="197">
        <v>8</v>
      </c>
    </row>
    <row r="224" spans="1:3">
      <c r="A224" s="395">
        <v>44951</v>
      </c>
      <c r="B224" s="196">
        <v>1451</v>
      </c>
      <c r="C224" s="197">
        <v>11</v>
      </c>
    </row>
    <row r="225" spans="1:3">
      <c r="A225" s="395">
        <v>44951</v>
      </c>
      <c r="B225" s="196">
        <v>1452</v>
      </c>
      <c r="C225" s="197">
        <v>13.25</v>
      </c>
    </row>
    <row r="226" spans="1:3">
      <c r="A226" s="388">
        <v>44953</v>
      </c>
      <c r="B226">
        <v>1453</v>
      </c>
      <c r="C226" s="316">
        <v>12</v>
      </c>
    </row>
    <row r="227" spans="1:3">
      <c r="A227" s="388">
        <v>44953</v>
      </c>
      <c r="B227">
        <v>1454</v>
      </c>
      <c r="C227" s="316">
        <v>11.5</v>
      </c>
    </row>
    <row r="228" spans="1:3">
      <c r="A228" s="388">
        <v>44953</v>
      </c>
      <c r="B228">
        <v>1455</v>
      </c>
      <c r="C228" s="316">
        <v>10</v>
      </c>
    </row>
    <row r="229" spans="1:3">
      <c r="A229" s="388">
        <v>44953</v>
      </c>
      <c r="B229">
        <v>1456</v>
      </c>
      <c r="C229" s="316">
        <v>10</v>
      </c>
    </row>
    <row r="230" spans="1:3">
      <c r="A230" s="388">
        <v>44953</v>
      </c>
      <c r="B230">
        <v>1457</v>
      </c>
      <c r="C230" s="316">
        <v>8.75</v>
      </c>
    </row>
    <row r="231" spans="1:3">
      <c r="A231" s="388">
        <v>44953</v>
      </c>
      <c r="B231">
        <v>1458</v>
      </c>
      <c r="C231" s="316">
        <v>15.75</v>
      </c>
    </row>
    <row r="232" spans="1:3">
      <c r="A232" s="388">
        <v>44953</v>
      </c>
      <c r="B232">
        <v>1459</v>
      </c>
      <c r="C232" s="316">
        <v>11</v>
      </c>
    </row>
    <row r="233" spans="1:3">
      <c r="A233" s="388">
        <v>44953</v>
      </c>
      <c r="B233">
        <v>1460</v>
      </c>
      <c r="C233" s="316">
        <v>11</v>
      </c>
    </row>
    <row r="234" spans="1:3">
      <c r="A234" s="388">
        <v>44953</v>
      </c>
      <c r="B234">
        <v>1461</v>
      </c>
      <c r="C234" s="316">
        <v>11</v>
      </c>
    </row>
    <row r="235" spans="1:3">
      <c r="A235" s="388">
        <v>44953</v>
      </c>
      <c r="B235">
        <v>1462</v>
      </c>
      <c r="C235" s="316">
        <v>10.25</v>
      </c>
    </row>
    <row r="236" spans="1:3">
      <c r="A236" s="388">
        <v>44953</v>
      </c>
      <c r="B236">
        <v>1463</v>
      </c>
      <c r="C236" s="316">
        <v>8.75</v>
      </c>
    </row>
    <row r="237" spans="1:3">
      <c r="A237" s="388">
        <v>44953</v>
      </c>
      <c r="B237">
        <v>1464</v>
      </c>
      <c r="C237" s="316">
        <v>10.25</v>
      </c>
    </row>
    <row r="238" spans="1:3">
      <c r="A238" s="388">
        <v>44953</v>
      </c>
      <c r="B238">
        <v>1465</v>
      </c>
      <c r="C238" s="316">
        <v>14.25</v>
      </c>
    </row>
    <row r="239" spans="1:3">
      <c r="A239" s="388">
        <v>44953</v>
      </c>
      <c r="B239">
        <v>1466</v>
      </c>
      <c r="C239" s="316">
        <v>12</v>
      </c>
    </row>
    <row r="240" spans="1:3">
      <c r="A240" s="388">
        <v>44953</v>
      </c>
      <c r="B240">
        <v>1467</v>
      </c>
      <c r="C240" s="316">
        <v>13</v>
      </c>
    </row>
    <row r="241" spans="1:3">
      <c r="A241" s="388">
        <v>44953</v>
      </c>
      <c r="B241">
        <v>1468</v>
      </c>
      <c r="C241" s="316">
        <v>12.5</v>
      </c>
    </row>
    <row r="242" spans="1:3">
      <c r="A242" s="388">
        <v>44953</v>
      </c>
      <c r="B242">
        <v>1469</v>
      </c>
      <c r="C242" s="316">
        <v>13</v>
      </c>
    </row>
    <row r="243" spans="1:3">
      <c r="A243" s="388">
        <v>44953</v>
      </c>
      <c r="B243">
        <v>1470</v>
      </c>
      <c r="C243" s="316">
        <v>10.5</v>
      </c>
    </row>
    <row r="244" spans="1:3">
      <c r="A244" s="388">
        <v>44953</v>
      </c>
      <c r="B244">
        <v>1471</v>
      </c>
      <c r="C244" s="316">
        <v>10.5</v>
      </c>
    </row>
    <row r="245" spans="1:3">
      <c r="A245" s="388">
        <v>44953</v>
      </c>
      <c r="B245">
        <v>1472</v>
      </c>
      <c r="C245" s="316">
        <v>11.75</v>
      </c>
    </row>
    <row r="246" spans="1:3">
      <c r="A246" s="388">
        <v>44953</v>
      </c>
      <c r="B246">
        <v>1473</v>
      </c>
      <c r="C246" s="316">
        <v>10.5</v>
      </c>
    </row>
    <row r="247" spans="1:3">
      <c r="A247" s="388">
        <v>44953</v>
      </c>
      <c r="B247">
        <v>1474</v>
      </c>
      <c r="C247" s="316">
        <v>10.25</v>
      </c>
    </row>
    <row r="248" spans="1:3">
      <c r="A248" s="388">
        <v>44953</v>
      </c>
      <c r="B248">
        <v>1475</v>
      </c>
      <c r="C248" s="316">
        <v>10</v>
      </c>
    </row>
    <row r="249" spans="1:3">
      <c r="A249" s="388">
        <v>44953</v>
      </c>
      <c r="B249">
        <v>1476</v>
      </c>
      <c r="C249" s="316">
        <v>10.5</v>
      </c>
    </row>
    <row r="250" spans="1:3">
      <c r="A250" s="388">
        <v>44953</v>
      </c>
      <c r="B250">
        <v>1477</v>
      </c>
      <c r="C250" s="316">
        <v>11</v>
      </c>
    </row>
    <row r="251" spans="1:3">
      <c r="A251" s="388">
        <v>44953</v>
      </c>
      <c r="B251">
        <v>1478</v>
      </c>
      <c r="C251" s="316">
        <v>10.5</v>
      </c>
    </row>
    <row r="252" spans="1:3">
      <c r="A252" s="388">
        <v>44953</v>
      </c>
      <c r="B252">
        <v>1479</v>
      </c>
      <c r="C252" s="316">
        <v>11</v>
      </c>
    </row>
    <row r="253" spans="1:3">
      <c r="A253" s="388">
        <v>44953</v>
      </c>
      <c r="B253">
        <v>1480</v>
      </c>
      <c r="C253" s="316">
        <v>10.5</v>
      </c>
    </row>
    <row r="254" spans="1:3">
      <c r="A254" s="388"/>
      <c r="C254" s="28">
        <f>SUM(C1:C253)</f>
        <v>2788</v>
      </c>
    </row>
    <row r="255" spans="1:3">
      <c r="A255" s="388"/>
    </row>
    <row r="256" spans="1:3">
      <c r="A256" s="388">
        <v>44929</v>
      </c>
      <c r="B256">
        <v>615</v>
      </c>
      <c r="C256" s="316">
        <v>11.25</v>
      </c>
    </row>
    <row r="257" spans="1:3">
      <c r="A257" s="388">
        <v>44929</v>
      </c>
      <c r="B257">
        <v>616</v>
      </c>
      <c r="C257" s="316">
        <v>3.85</v>
      </c>
    </row>
    <row r="258" spans="1:3">
      <c r="A258" s="388">
        <v>44930</v>
      </c>
      <c r="B258">
        <v>617</v>
      </c>
      <c r="C258" s="316">
        <v>17.5</v>
      </c>
    </row>
    <row r="259" spans="1:3">
      <c r="A259" s="388">
        <v>44930</v>
      </c>
      <c r="B259">
        <v>618</v>
      </c>
      <c r="C259" s="316">
        <v>7.5</v>
      </c>
    </row>
    <row r="260" spans="1:3">
      <c r="A260" s="388">
        <v>44931</v>
      </c>
      <c r="B260">
        <v>619</v>
      </c>
      <c r="C260" s="330">
        <v>16</v>
      </c>
    </row>
    <row r="261" spans="1:3">
      <c r="A261" s="388">
        <v>44931</v>
      </c>
      <c r="B261">
        <v>620</v>
      </c>
      <c r="C261" s="330">
        <v>7.6</v>
      </c>
    </row>
    <row r="262" spans="1:3">
      <c r="A262" s="388">
        <v>44931</v>
      </c>
      <c r="B262">
        <v>621</v>
      </c>
      <c r="C262" s="330">
        <v>3.4</v>
      </c>
    </row>
    <row r="263" spans="1:3">
      <c r="A263" s="388">
        <v>44932</v>
      </c>
      <c r="B263">
        <v>622</v>
      </c>
      <c r="C263" s="197">
        <v>31.5</v>
      </c>
    </row>
    <row r="264" spans="1:3">
      <c r="A264" s="388">
        <v>44932</v>
      </c>
      <c r="B264">
        <v>623</v>
      </c>
      <c r="C264" s="197">
        <v>5.3</v>
      </c>
    </row>
    <row r="265" spans="1:3">
      <c r="A265" s="388">
        <v>44932</v>
      </c>
      <c r="B265">
        <v>624</v>
      </c>
      <c r="C265" s="197">
        <v>6</v>
      </c>
    </row>
    <row r="266" spans="1:3">
      <c r="A266" s="395">
        <v>44933</v>
      </c>
      <c r="B266">
        <v>625</v>
      </c>
      <c r="C266" s="316">
        <v>72.5</v>
      </c>
    </row>
    <row r="267" spans="1:3">
      <c r="A267" s="395">
        <v>44933</v>
      </c>
      <c r="B267">
        <v>626</v>
      </c>
      <c r="C267" s="316">
        <v>12.4</v>
      </c>
    </row>
    <row r="268" spans="1:3">
      <c r="A268" s="395">
        <v>44934</v>
      </c>
      <c r="B268">
        <v>627</v>
      </c>
      <c r="C268" s="316">
        <v>27.75</v>
      </c>
    </row>
    <row r="269" spans="1:3">
      <c r="A269" s="395">
        <v>44934</v>
      </c>
      <c r="B269">
        <v>628</v>
      </c>
      <c r="C269" s="316">
        <v>4.6500000000000004</v>
      </c>
    </row>
    <row r="270" spans="1:3">
      <c r="A270" s="390">
        <v>44935</v>
      </c>
      <c r="B270">
        <v>629</v>
      </c>
      <c r="C270" s="316">
        <v>18.25</v>
      </c>
    </row>
    <row r="271" spans="1:3">
      <c r="A271" s="390">
        <v>44935</v>
      </c>
      <c r="B271">
        <v>630</v>
      </c>
      <c r="C271" s="316">
        <v>5.35</v>
      </c>
    </row>
    <row r="272" spans="1:3">
      <c r="A272" s="395">
        <v>44936</v>
      </c>
      <c r="B272">
        <v>631</v>
      </c>
      <c r="C272" s="316">
        <v>22</v>
      </c>
    </row>
    <row r="273" spans="1:3">
      <c r="A273" s="395">
        <v>44936</v>
      </c>
      <c r="B273">
        <v>632</v>
      </c>
      <c r="C273" s="316">
        <v>6</v>
      </c>
    </row>
    <row r="274" spans="1:3">
      <c r="A274" s="395">
        <v>44937</v>
      </c>
      <c r="B274">
        <v>633</v>
      </c>
      <c r="C274" s="316">
        <v>15.25</v>
      </c>
    </row>
    <row r="275" spans="1:3">
      <c r="A275" s="395">
        <v>44937</v>
      </c>
      <c r="B275">
        <v>634</v>
      </c>
      <c r="C275" s="316">
        <v>2.25</v>
      </c>
    </row>
    <row r="276" spans="1:3">
      <c r="A276" s="395">
        <v>44938</v>
      </c>
      <c r="B276" s="196">
        <v>635</v>
      </c>
      <c r="C276" s="197">
        <v>18.5</v>
      </c>
    </row>
    <row r="277" spans="1:3">
      <c r="A277" s="395">
        <v>44938</v>
      </c>
      <c r="B277" s="196">
        <v>636</v>
      </c>
      <c r="C277" s="197">
        <v>14.6</v>
      </c>
    </row>
    <row r="278" spans="1:3">
      <c r="A278" s="395">
        <v>44939</v>
      </c>
      <c r="B278" s="196">
        <v>637</v>
      </c>
      <c r="C278" s="197">
        <v>18.600000000000001</v>
      </c>
    </row>
    <row r="279" spans="1:3">
      <c r="A279" s="395">
        <v>44939</v>
      </c>
      <c r="B279" s="196">
        <v>638</v>
      </c>
      <c r="C279" s="197">
        <v>5.7</v>
      </c>
    </row>
    <row r="280" spans="1:3">
      <c r="A280" s="390">
        <v>44940</v>
      </c>
      <c r="B280" s="181">
        <v>639</v>
      </c>
      <c r="C280" s="330">
        <v>83.75</v>
      </c>
    </row>
    <row r="281" spans="1:3">
      <c r="A281" s="390">
        <v>44940</v>
      </c>
      <c r="B281" s="181">
        <v>640</v>
      </c>
      <c r="C281" s="330">
        <v>13.35</v>
      </c>
    </row>
    <row r="282" spans="1:3">
      <c r="A282" s="390">
        <v>44941</v>
      </c>
      <c r="B282" s="181">
        <v>641</v>
      </c>
      <c r="C282" s="330">
        <v>22.25</v>
      </c>
    </row>
    <row r="283" spans="1:3">
      <c r="A283" s="390">
        <v>44941</v>
      </c>
      <c r="B283" s="181">
        <v>642</v>
      </c>
      <c r="C283" s="330">
        <v>7</v>
      </c>
    </row>
    <row r="284" spans="1:3">
      <c r="A284" s="390">
        <v>44942</v>
      </c>
      <c r="B284" s="181">
        <v>643</v>
      </c>
      <c r="C284" s="330">
        <v>24</v>
      </c>
    </row>
    <row r="285" spans="1:3">
      <c r="A285" s="390">
        <v>44942</v>
      </c>
      <c r="B285" s="181">
        <v>644</v>
      </c>
      <c r="C285" s="330">
        <v>4.75</v>
      </c>
    </row>
    <row r="286" spans="1:3">
      <c r="A286" s="395">
        <v>44943</v>
      </c>
      <c r="B286" s="196">
        <v>645</v>
      </c>
      <c r="C286" s="197">
        <v>41.25</v>
      </c>
    </row>
    <row r="287" spans="1:3">
      <c r="A287" s="395">
        <v>44943</v>
      </c>
      <c r="B287" s="196">
        <v>646</v>
      </c>
      <c r="C287" s="197">
        <v>9.1999999999999993</v>
      </c>
    </row>
    <row r="288" spans="1:3">
      <c r="A288" s="395">
        <v>44944</v>
      </c>
      <c r="B288" s="196">
        <v>647</v>
      </c>
      <c r="C288" s="197">
        <v>13.75</v>
      </c>
    </row>
    <row r="289" spans="1:3">
      <c r="A289" s="395">
        <v>44944</v>
      </c>
      <c r="B289" s="196">
        <v>648</v>
      </c>
      <c r="C289" s="197">
        <v>10.25</v>
      </c>
    </row>
    <row r="290" spans="1:3">
      <c r="A290" s="395">
        <v>44945</v>
      </c>
      <c r="B290" s="196">
        <v>649</v>
      </c>
      <c r="C290" s="197">
        <v>22</v>
      </c>
    </row>
    <row r="291" spans="1:3">
      <c r="A291" s="395">
        <v>44945</v>
      </c>
      <c r="B291" s="196">
        <v>650</v>
      </c>
      <c r="C291" s="197">
        <v>7.5</v>
      </c>
    </row>
    <row r="292" spans="1:3">
      <c r="A292" s="390">
        <v>44946</v>
      </c>
      <c r="B292" s="181">
        <v>651</v>
      </c>
      <c r="C292" s="330">
        <v>71.5</v>
      </c>
    </row>
    <row r="293" spans="1:3">
      <c r="A293" s="390">
        <v>44946</v>
      </c>
      <c r="B293" s="181">
        <v>652</v>
      </c>
      <c r="C293" s="330">
        <v>10.8</v>
      </c>
    </row>
    <row r="294" spans="1:3">
      <c r="A294" s="390">
        <v>44947</v>
      </c>
      <c r="B294" s="181">
        <v>653</v>
      </c>
      <c r="C294" s="330">
        <v>48</v>
      </c>
    </row>
    <row r="295" spans="1:3">
      <c r="A295" s="390">
        <v>44947</v>
      </c>
      <c r="B295" s="181">
        <v>654</v>
      </c>
      <c r="C295" s="330">
        <v>5.5</v>
      </c>
    </row>
    <row r="296" spans="1:3">
      <c r="A296" s="390">
        <v>44948</v>
      </c>
      <c r="B296" s="181">
        <v>655</v>
      </c>
      <c r="C296" s="330">
        <v>32.25</v>
      </c>
    </row>
    <row r="297" spans="1:3">
      <c r="A297" s="390">
        <v>44948</v>
      </c>
      <c r="B297" s="181">
        <v>656</v>
      </c>
      <c r="C297" s="330">
        <v>6</v>
      </c>
    </row>
    <row r="298" spans="1:3">
      <c r="A298" s="395">
        <v>44949</v>
      </c>
      <c r="B298" s="196">
        <v>657</v>
      </c>
      <c r="C298" s="197">
        <v>12</v>
      </c>
    </row>
    <row r="299" spans="1:3">
      <c r="A299" s="395">
        <v>44949</v>
      </c>
      <c r="B299" s="196">
        <v>658</v>
      </c>
      <c r="C299" s="197">
        <v>4.8499999999999996</v>
      </c>
    </row>
    <row r="300" spans="1:3">
      <c r="A300" s="395">
        <v>44950</v>
      </c>
      <c r="B300" s="196">
        <v>659</v>
      </c>
      <c r="C300" s="197">
        <v>12.25</v>
      </c>
    </row>
    <row r="301" spans="1:3">
      <c r="A301" s="395">
        <v>44950</v>
      </c>
      <c r="B301" s="196">
        <v>660</v>
      </c>
      <c r="C301" s="197">
        <v>12.05</v>
      </c>
    </row>
    <row r="302" spans="1:3">
      <c r="A302" s="390">
        <v>44951</v>
      </c>
      <c r="B302" s="181">
        <v>661</v>
      </c>
      <c r="C302" s="330">
        <v>18</v>
      </c>
    </row>
    <row r="303" spans="1:3">
      <c r="A303" s="390">
        <v>44951</v>
      </c>
      <c r="B303" s="181">
        <v>662</v>
      </c>
      <c r="C303" s="330">
        <v>4</v>
      </c>
    </row>
    <row r="304" spans="1:3">
      <c r="A304" s="390">
        <v>44952</v>
      </c>
      <c r="B304" s="181">
        <v>663</v>
      </c>
      <c r="C304" s="330">
        <v>30.25</v>
      </c>
    </row>
    <row r="305" spans="1:3">
      <c r="A305" s="390">
        <v>44952</v>
      </c>
      <c r="B305" s="181">
        <v>664</v>
      </c>
      <c r="C305" s="389" t="s">
        <v>688</v>
      </c>
    </row>
    <row r="306" spans="1:3">
      <c r="A306" s="390">
        <v>44952</v>
      </c>
      <c r="B306" s="181">
        <v>665</v>
      </c>
      <c r="C306" s="330">
        <v>5.75</v>
      </c>
    </row>
    <row r="307" spans="1:3">
      <c r="A307" s="388">
        <v>44953</v>
      </c>
      <c r="B307">
        <v>666</v>
      </c>
      <c r="C307" s="197">
        <v>44.75</v>
      </c>
    </row>
    <row r="308" spans="1:3">
      <c r="A308" s="388">
        <v>44953</v>
      </c>
      <c r="B308">
        <v>667</v>
      </c>
      <c r="C308" s="197">
        <v>11.5</v>
      </c>
    </row>
    <row r="309" spans="1:3">
      <c r="A309" s="395">
        <v>44954</v>
      </c>
      <c r="B309" s="196">
        <v>668</v>
      </c>
      <c r="C309" s="241">
        <v>55.25</v>
      </c>
    </row>
    <row r="310" spans="1:3">
      <c r="A310" s="395">
        <v>44954</v>
      </c>
      <c r="B310" s="196">
        <v>669</v>
      </c>
      <c r="C310" s="241">
        <v>25.75</v>
      </c>
    </row>
    <row r="311" spans="1:3">
      <c r="A311" s="395">
        <v>44954</v>
      </c>
      <c r="B311" s="196">
        <v>670</v>
      </c>
      <c r="C311" s="241">
        <v>11.7</v>
      </c>
    </row>
    <row r="312" spans="1:3">
      <c r="A312" s="395">
        <v>44955</v>
      </c>
      <c r="B312" s="196">
        <v>671</v>
      </c>
      <c r="C312" s="241">
        <v>24.25</v>
      </c>
    </row>
    <row r="313" spans="1:3">
      <c r="A313" s="395">
        <v>44955</v>
      </c>
      <c r="B313" s="196">
        <v>672</v>
      </c>
      <c r="C313" s="241">
        <v>2.5</v>
      </c>
    </row>
    <row r="314" spans="1:3">
      <c r="A314" s="388">
        <v>44956</v>
      </c>
      <c r="B314">
        <v>673</v>
      </c>
      <c r="C314" s="316">
        <v>7.5</v>
      </c>
    </row>
    <row r="315" spans="1:3">
      <c r="A315" s="388">
        <v>44956</v>
      </c>
      <c r="B315">
        <v>674</v>
      </c>
      <c r="C315" s="316">
        <v>2.5</v>
      </c>
    </row>
    <row r="316" spans="1:3">
      <c r="A316" s="388">
        <v>44956</v>
      </c>
      <c r="B316">
        <v>675</v>
      </c>
      <c r="C316" s="316">
        <v>15.25</v>
      </c>
    </row>
    <row r="317" spans="1:3">
      <c r="A317" s="388">
        <v>44956</v>
      </c>
      <c r="B317">
        <v>676</v>
      </c>
      <c r="C317" s="316">
        <v>5.0999999999999996</v>
      </c>
    </row>
    <row r="318" spans="1:3">
      <c r="C318" s="28">
        <f>SUM(C256:C317)</f>
        <v>1092</v>
      </c>
    </row>
    <row r="321" spans="3:3">
      <c r="C321" s="28">
        <f>+C254+C318</f>
        <v>3880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5:G10"/>
  <sheetViews>
    <sheetView topLeftCell="B1" workbookViewId="0">
      <selection activeCell="C8" sqref="C8"/>
    </sheetView>
  </sheetViews>
  <sheetFormatPr baseColWidth="10" defaultRowHeight="13.2"/>
  <cols>
    <col min="1" max="1" width="11.44140625" hidden="1" customWidth="1"/>
    <col min="2" max="2" width="4.109375" customWidth="1"/>
    <col min="3" max="3" width="23.88671875" customWidth="1"/>
  </cols>
  <sheetData>
    <row r="5" spans="3:7" ht="22.8">
      <c r="C5" s="163" t="s">
        <v>91</v>
      </c>
      <c r="D5" s="155"/>
      <c r="E5" s="155"/>
    </row>
    <row r="6" spans="3:7" ht="22.8">
      <c r="C6" s="163" t="s">
        <v>91</v>
      </c>
      <c r="D6" s="155"/>
      <c r="E6" s="155"/>
    </row>
    <row r="7" spans="3:7" ht="22.8">
      <c r="C7" s="163" t="s">
        <v>91</v>
      </c>
      <c r="D7" s="155"/>
      <c r="E7" s="165" t="s">
        <v>89</v>
      </c>
      <c r="F7" s="166"/>
      <c r="G7" s="166"/>
    </row>
    <row r="8" spans="3:7" ht="22.8">
      <c r="C8" s="163" t="s">
        <v>91</v>
      </c>
      <c r="D8" s="155"/>
      <c r="E8" s="165" t="s">
        <v>89</v>
      </c>
    </row>
    <row r="9" spans="3:7" ht="22.8">
      <c r="C9" s="163" t="s">
        <v>91</v>
      </c>
      <c r="D9" s="155"/>
      <c r="E9" s="165" t="s">
        <v>229</v>
      </c>
    </row>
    <row r="10" spans="3:7" ht="22.8">
      <c r="C10" s="156"/>
      <c r="D10" s="155"/>
      <c r="E10" s="155"/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144A-59BD-43C9-9573-F3AE271580C5}">
  <dimension ref="A1:AB825"/>
  <sheetViews>
    <sheetView topLeftCell="A199" workbookViewId="0">
      <selection activeCell="C207" sqref="C207:C209"/>
    </sheetView>
  </sheetViews>
  <sheetFormatPr baseColWidth="10" defaultRowHeight="13.2"/>
  <cols>
    <col min="23" max="23" width="4.109375" customWidth="1"/>
  </cols>
  <sheetData>
    <row r="1" spans="1:28">
      <c r="A1" s="180">
        <v>44652</v>
      </c>
      <c r="B1" s="181">
        <v>1263</v>
      </c>
      <c r="C1" s="190">
        <v>12</v>
      </c>
      <c r="F1" s="180">
        <v>44685</v>
      </c>
      <c r="G1" s="181">
        <v>1392</v>
      </c>
      <c r="H1" s="190">
        <v>12.75</v>
      </c>
      <c r="K1" s="180">
        <v>44713</v>
      </c>
      <c r="L1" s="288">
        <v>13</v>
      </c>
      <c r="M1" s="289">
        <v>13</v>
      </c>
      <c r="O1" s="180">
        <v>44713</v>
      </c>
      <c r="P1" s="181">
        <v>196</v>
      </c>
      <c r="Q1" s="289">
        <v>5.25</v>
      </c>
      <c r="S1" s="320">
        <v>44743</v>
      </c>
      <c r="T1" s="236">
        <v>251</v>
      </c>
      <c r="U1" s="237">
        <v>15.25</v>
      </c>
      <c r="Y1" s="180">
        <v>44776</v>
      </c>
      <c r="Z1" s="181">
        <v>314</v>
      </c>
      <c r="AA1" s="330">
        <v>11.25</v>
      </c>
    </row>
    <row r="2" spans="1:28">
      <c r="A2" s="180">
        <v>44652</v>
      </c>
      <c r="B2" s="181">
        <v>1264</v>
      </c>
      <c r="C2" s="190">
        <v>11.75</v>
      </c>
      <c r="F2" s="180">
        <v>44685</v>
      </c>
      <c r="G2" s="181">
        <v>1393</v>
      </c>
      <c r="H2" s="190">
        <v>12.25</v>
      </c>
      <c r="K2" s="180">
        <v>44713</v>
      </c>
      <c r="L2" s="288">
        <v>14</v>
      </c>
      <c r="M2" s="289">
        <v>10.5</v>
      </c>
      <c r="O2" s="180">
        <v>44713</v>
      </c>
      <c r="P2" s="181">
        <v>197</v>
      </c>
      <c r="Q2" s="289">
        <v>1.3</v>
      </c>
      <c r="S2" s="320">
        <v>44743</v>
      </c>
      <c r="T2" s="236">
        <v>252</v>
      </c>
      <c r="U2" s="237">
        <v>14.75</v>
      </c>
      <c r="V2" s="28">
        <f>SUM(U1:U2)</f>
        <v>30</v>
      </c>
      <c r="Y2" s="180">
        <v>44776</v>
      </c>
      <c r="Z2" s="181">
        <v>315</v>
      </c>
      <c r="AA2" s="330">
        <v>10.5</v>
      </c>
    </row>
    <row r="3" spans="1:28">
      <c r="A3" s="180">
        <v>44652</v>
      </c>
      <c r="B3" s="181">
        <v>1265</v>
      </c>
      <c r="C3" s="190">
        <v>11.25</v>
      </c>
      <c r="F3" s="180">
        <v>44685</v>
      </c>
      <c r="G3" s="181">
        <v>1394</v>
      </c>
      <c r="H3" s="190">
        <v>12</v>
      </c>
      <c r="K3" s="180">
        <v>44713</v>
      </c>
      <c r="L3" s="288">
        <v>15</v>
      </c>
      <c r="M3" s="289">
        <v>10</v>
      </c>
      <c r="O3" s="179">
        <v>44714</v>
      </c>
      <c r="P3">
        <v>198</v>
      </c>
      <c r="Q3" s="220">
        <v>14</v>
      </c>
      <c r="S3" s="180">
        <v>44744</v>
      </c>
      <c r="T3">
        <v>253</v>
      </c>
      <c r="U3" s="316">
        <v>27.25</v>
      </c>
      <c r="Y3" s="180">
        <v>44776</v>
      </c>
      <c r="Z3" s="181">
        <v>316</v>
      </c>
      <c r="AA3" s="330">
        <v>12.25</v>
      </c>
    </row>
    <row r="4" spans="1:28">
      <c r="A4" s="180">
        <v>44652</v>
      </c>
      <c r="B4" s="181">
        <v>1266</v>
      </c>
      <c r="C4" s="190">
        <v>11.75</v>
      </c>
      <c r="F4" s="180">
        <v>44685</v>
      </c>
      <c r="G4" s="181">
        <v>1395</v>
      </c>
      <c r="H4" s="190">
        <v>10</v>
      </c>
      <c r="K4" s="180">
        <v>44713</v>
      </c>
      <c r="L4" s="288">
        <v>16</v>
      </c>
      <c r="M4" s="289">
        <v>12.5</v>
      </c>
      <c r="O4" s="179">
        <v>44714</v>
      </c>
      <c r="P4">
        <v>199</v>
      </c>
      <c r="Q4" s="220">
        <v>4.5</v>
      </c>
      <c r="S4" s="180">
        <v>44744</v>
      </c>
      <c r="T4">
        <v>254</v>
      </c>
      <c r="U4" s="316">
        <v>10.1</v>
      </c>
      <c r="V4" s="28">
        <f>SUM(U3:U4)</f>
        <v>37.35</v>
      </c>
      <c r="Y4" s="180">
        <v>44776</v>
      </c>
      <c r="Z4" s="181">
        <v>317</v>
      </c>
      <c r="AA4" s="330">
        <v>9.25</v>
      </c>
    </row>
    <row r="5" spans="1:28">
      <c r="A5" s="180">
        <v>44652</v>
      </c>
      <c r="B5" s="181">
        <v>1267</v>
      </c>
      <c r="C5" s="190">
        <v>10</v>
      </c>
      <c r="F5" s="180">
        <v>44685</v>
      </c>
      <c r="G5" s="181">
        <v>1396</v>
      </c>
      <c r="H5" s="190">
        <v>9.5</v>
      </c>
      <c r="K5" s="180">
        <v>44713</v>
      </c>
      <c r="L5" s="288">
        <v>17</v>
      </c>
      <c r="M5" s="289">
        <v>10.7</v>
      </c>
      <c r="O5" s="276">
        <v>44715</v>
      </c>
      <c r="P5" s="277">
        <v>200</v>
      </c>
      <c r="Q5" s="278">
        <v>26.5</v>
      </c>
      <c r="S5" s="180">
        <v>44745</v>
      </c>
      <c r="T5">
        <v>255</v>
      </c>
      <c r="U5" s="316">
        <v>20.25</v>
      </c>
      <c r="Y5" s="180">
        <v>44776</v>
      </c>
      <c r="Z5" s="181">
        <v>318</v>
      </c>
      <c r="AA5" s="330">
        <v>11.5</v>
      </c>
    </row>
    <row r="6" spans="1:28">
      <c r="A6" s="180">
        <v>44652</v>
      </c>
      <c r="B6" s="181">
        <v>1268</v>
      </c>
      <c r="C6" s="190">
        <v>10.75</v>
      </c>
      <c r="F6" s="180">
        <v>44685</v>
      </c>
      <c r="G6" s="181">
        <v>1397</v>
      </c>
      <c r="H6" s="190">
        <v>9</v>
      </c>
      <c r="K6" s="180">
        <v>44713</v>
      </c>
      <c r="L6" s="288">
        <v>18</v>
      </c>
      <c r="M6" s="289">
        <v>12</v>
      </c>
      <c r="O6" s="276">
        <v>44715</v>
      </c>
      <c r="P6" s="277">
        <v>201</v>
      </c>
      <c r="Q6" s="278">
        <v>2.75</v>
      </c>
      <c r="S6" s="180">
        <v>44745</v>
      </c>
      <c r="T6">
        <v>256</v>
      </c>
      <c r="U6" s="316">
        <v>3.5</v>
      </c>
      <c r="V6" s="28">
        <f>SUM(U5:U6)</f>
        <v>23.75</v>
      </c>
      <c r="Y6" s="180">
        <v>44776</v>
      </c>
      <c r="Z6" s="181">
        <v>319</v>
      </c>
      <c r="AA6" s="330">
        <v>11.5</v>
      </c>
    </row>
    <row r="7" spans="1:28">
      <c r="A7" s="180">
        <v>44652</v>
      </c>
      <c r="B7" s="181">
        <v>1269</v>
      </c>
      <c r="C7" s="190">
        <v>10</v>
      </c>
      <c r="F7" s="180">
        <v>44685</v>
      </c>
      <c r="G7" s="181">
        <v>1398</v>
      </c>
      <c r="H7" s="190">
        <v>11.5</v>
      </c>
      <c r="K7" s="180">
        <v>44713</v>
      </c>
      <c r="L7" s="288">
        <v>19</v>
      </c>
      <c r="M7" s="289">
        <v>10.25</v>
      </c>
      <c r="O7" s="180">
        <v>44716</v>
      </c>
      <c r="P7" s="181">
        <v>202</v>
      </c>
      <c r="Q7" s="289">
        <v>45.75</v>
      </c>
      <c r="S7" s="180">
        <v>44746</v>
      </c>
      <c r="T7">
        <v>257</v>
      </c>
      <c r="U7" s="316">
        <v>13.5</v>
      </c>
      <c r="Y7" s="180">
        <v>44776</v>
      </c>
      <c r="Z7" s="181">
        <v>320</v>
      </c>
      <c r="AA7" s="330">
        <v>12</v>
      </c>
    </row>
    <row r="8" spans="1:28">
      <c r="A8" s="180">
        <v>44652</v>
      </c>
      <c r="B8" s="181">
        <v>1270</v>
      </c>
      <c r="C8" s="190">
        <v>12</v>
      </c>
      <c r="F8" s="180">
        <v>44685</v>
      </c>
      <c r="G8" s="181">
        <v>1399</v>
      </c>
      <c r="H8" s="190">
        <v>14.25</v>
      </c>
      <c r="K8" s="180">
        <v>44713</v>
      </c>
      <c r="L8" s="288">
        <v>20</v>
      </c>
      <c r="M8" s="289">
        <v>11</v>
      </c>
      <c r="O8" s="180">
        <v>44716</v>
      </c>
      <c r="P8" s="181">
        <v>203</v>
      </c>
      <c r="Q8" s="289">
        <v>9.8000000000000007</v>
      </c>
      <c r="S8" s="180">
        <v>44746</v>
      </c>
      <c r="T8">
        <v>258</v>
      </c>
      <c r="U8" s="316">
        <v>1.75</v>
      </c>
      <c r="V8" s="28">
        <f>SUM(U7:U8)</f>
        <v>15.25</v>
      </c>
      <c r="Y8" s="180">
        <v>44776</v>
      </c>
      <c r="Z8" s="181">
        <v>321</v>
      </c>
      <c r="AA8" s="330">
        <v>12</v>
      </c>
    </row>
    <row r="9" spans="1:28">
      <c r="A9" s="180">
        <v>44652</v>
      </c>
      <c r="B9" s="181">
        <v>1271</v>
      </c>
      <c r="C9" s="190">
        <v>12</v>
      </c>
      <c r="F9" s="180">
        <v>44685</v>
      </c>
      <c r="G9" s="181">
        <v>1400</v>
      </c>
      <c r="H9" s="190">
        <v>12</v>
      </c>
      <c r="K9" s="180">
        <v>44713</v>
      </c>
      <c r="L9" s="288">
        <v>21</v>
      </c>
      <c r="M9" s="289">
        <v>11.25</v>
      </c>
      <c r="O9" s="180">
        <v>44716</v>
      </c>
      <c r="P9" s="181">
        <v>204</v>
      </c>
      <c r="Q9" s="289">
        <v>2.35</v>
      </c>
      <c r="S9" s="320">
        <v>44747</v>
      </c>
      <c r="T9" s="236">
        <v>259</v>
      </c>
      <c r="U9" s="237">
        <v>22</v>
      </c>
      <c r="Y9" s="180">
        <v>44776</v>
      </c>
      <c r="Z9" s="181">
        <v>322</v>
      </c>
      <c r="AA9" s="330">
        <v>12.5</v>
      </c>
    </row>
    <row r="10" spans="1:28">
      <c r="A10" s="180"/>
      <c r="B10" s="181"/>
      <c r="C10" s="190"/>
      <c r="F10" s="180"/>
      <c r="G10" s="181"/>
      <c r="H10" s="190"/>
      <c r="K10" s="180">
        <v>44713</v>
      </c>
      <c r="L10" s="288">
        <v>22</v>
      </c>
      <c r="M10" s="289">
        <v>11.25</v>
      </c>
      <c r="O10" s="179">
        <v>44718</v>
      </c>
      <c r="P10">
        <v>205</v>
      </c>
      <c r="Q10" s="220">
        <v>20.75</v>
      </c>
      <c r="S10" s="320">
        <v>44747</v>
      </c>
      <c r="T10" s="236">
        <v>260</v>
      </c>
      <c r="U10" s="237">
        <v>3.25</v>
      </c>
      <c r="Y10" s="180">
        <v>44776</v>
      </c>
      <c r="Z10" s="181">
        <v>323</v>
      </c>
      <c r="AA10" s="330">
        <v>10.5</v>
      </c>
    </row>
    <row r="11" spans="1:28">
      <c r="A11" s="180">
        <v>44652</v>
      </c>
      <c r="B11" s="181">
        <v>1272</v>
      </c>
      <c r="C11" s="190">
        <v>10</v>
      </c>
      <c r="F11" s="180">
        <v>44685</v>
      </c>
      <c r="G11" s="181">
        <v>1401</v>
      </c>
      <c r="H11" s="190">
        <v>12</v>
      </c>
      <c r="K11" s="180">
        <v>44713</v>
      </c>
      <c r="L11" s="288">
        <v>23</v>
      </c>
      <c r="M11" s="289">
        <v>10.75</v>
      </c>
      <c r="O11" s="179">
        <v>44718</v>
      </c>
      <c r="P11">
        <v>206</v>
      </c>
      <c r="Q11" s="220">
        <v>2.5</v>
      </c>
      <c r="S11" s="320">
        <v>44747</v>
      </c>
      <c r="T11" s="236">
        <v>261</v>
      </c>
      <c r="U11" s="237">
        <v>11.25</v>
      </c>
      <c r="V11" s="28">
        <f>SUM(U9:U11)</f>
        <v>36.5</v>
      </c>
      <c r="Y11" s="180">
        <v>44776</v>
      </c>
      <c r="Z11" s="181">
        <v>324</v>
      </c>
      <c r="AA11" s="330">
        <v>13</v>
      </c>
    </row>
    <row r="12" spans="1:28">
      <c r="A12" s="180">
        <v>44652</v>
      </c>
      <c r="B12" s="181">
        <v>1273</v>
      </c>
      <c r="C12" s="190">
        <v>12</v>
      </c>
      <c r="F12" s="180">
        <v>44685</v>
      </c>
      <c r="G12" s="181">
        <v>1402</v>
      </c>
      <c r="H12" s="190">
        <v>10</v>
      </c>
      <c r="K12" s="180">
        <v>44713</v>
      </c>
      <c r="L12" s="288">
        <v>24</v>
      </c>
      <c r="M12" s="289">
        <v>12</v>
      </c>
      <c r="O12" s="179">
        <v>44718</v>
      </c>
      <c r="P12">
        <v>207</v>
      </c>
      <c r="Q12" s="220">
        <v>21.25</v>
      </c>
      <c r="S12" s="180">
        <v>44748</v>
      </c>
      <c r="T12">
        <v>262</v>
      </c>
      <c r="U12" s="316">
        <v>3.95</v>
      </c>
      <c r="Y12" s="180">
        <v>44776</v>
      </c>
      <c r="Z12" s="181">
        <v>325</v>
      </c>
      <c r="AA12" s="330">
        <v>13.5</v>
      </c>
    </row>
    <row r="13" spans="1:28">
      <c r="A13" s="180">
        <v>44652</v>
      </c>
      <c r="B13" s="181">
        <v>1274</v>
      </c>
      <c r="C13" s="190">
        <v>11.75</v>
      </c>
      <c r="F13" s="180">
        <v>44685</v>
      </c>
      <c r="G13" s="181">
        <v>1403</v>
      </c>
      <c r="H13" s="190">
        <v>12</v>
      </c>
      <c r="K13" s="180">
        <v>44713</v>
      </c>
      <c r="L13" s="288">
        <v>25</v>
      </c>
      <c r="M13" s="289">
        <v>11.5</v>
      </c>
      <c r="O13" s="179">
        <v>44718</v>
      </c>
      <c r="P13">
        <v>208</v>
      </c>
      <c r="Q13" s="220">
        <v>4</v>
      </c>
      <c r="S13" s="180">
        <v>44748</v>
      </c>
      <c r="T13">
        <v>263</v>
      </c>
      <c r="U13" s="316">
        <v>31</v>
      </c>
      <c r="V13" s="28">
        <f>SUM(U12:U13)</f>
        <v>34.950000000000003</v>
      </c>
      <c r="Y13" s="180">
        <v>44776</v>
      </c>
      <c r="Z13" s="181">
        <v>326</v>
      </c>
      <c r="AA13" s="330">
        <v>10.5</v>
      </c>
    </row>
    <row r="14" spans="1:28">
      <c r="A14" s="180">
        <v>44652</v>
      </c>
      <c r="B14" s="181">
        <v>1275</v>
      </c>
      <c r="C14" s="190">
        <v>12</v>
      </c>
      <c r="F14" s="180">
        <v>44685</v>
      </c>
      <c r="G14" s="181">
        <v>1404</v>
      </c>
      <c r="H14" s="190">
        <v>12</v>
      </c>
      <c r="K14" s="180">
        <v>44713</v>
      </c>
      <c r="L14" s="288">
        <v>26</v>
      </c>
      <c r="M14" s="289">
        <v>12</v>
      </c>
      <c r="O14" s="276">
        <v>44719</v>
      </c>
      <c r="P14" s="277">
        <v>209</v>
      </c>
      <c r="Q14" s="278">
        <v>17.25</v>
      </c>
      <c r="S14" s="180">
        <v>44749</v>
      </c>
      <c r="T14">
        <v>264</v>
      </c>
      <c r="U14" s="316">
        <v>5.3</v>
      </c>
      <c r="Y14" s="180">
        <v>44776</v>
      </c>
      <c r="Z14" s="181">
        <v>327</v>
      </c>
      <c r="AA14" s="330">
        <v>11.5</v>
      </c>
    </row>
    <row r="15" spans="1:28">
      <c r="A15" s="180">
        <v>44652</v>
      </c>
      <c r="B15" s="181">
        <v>1276</v>
      </c>
      <c r="C15" s="190">
        <v>12</v>
      </c>
      <c r="F15" s="180">
        <v>44685</v>
      </c>
      <c r="G15" s="181">
        <v>1405</v>
      </c>
      <c r="H15" s="190">
        <v>10</v>
      </c>
      <c r="I15" s="28">
        <f>SUM(H1:H15)</f>
        <v>159.25</v>
      </c>
      <c r="J15" s="28"/>
      <c r="K15" s="180">
        <v>44713</v>
      </c>
      <c r="L15" s="288">
        <v>27</v>
      </c>
      <c r="M15" s="289">
        <v>12.5</v>
      </c>
      <c r="O15" s="276">
        <v>44719</v>
      </c>
      <c r="P15" s="277">
        <v>210</v>
      </c>
      <c r="Q15" s="278">
        <v>4.55</v>
      </c>
      <c r="S15" s="180">
        <v>44749</v>
      </c>
      <c r="T15">
        <v>265</v>
      </c>
      <c r="U15" s="316">
        <v>32</v>
      </c>
      <c r="V15" s="28">
        <f>SUM(U14:U15)</f>
        <v>37.299999999999997</v>
      </c>
      <c r="Y15" s="180">
        <v>44776</v>
      </c>
      <c r="Z15" s="181">
        <v>328</v>
      </c>
      <c r="AA15" s="330">
        <v>12</v>
      </c>
      <c r="AB15" s="28">
        <f>SUM(AA1:AA15)</f>
        <v>173.75</v>
      </c>
    </row>
    <row r="16" spans="1:28">
      <c r="A16" s="180">
        <v>44652</v>
      </c>
      <c r="B16" s="181">
        <v>1277</v>
      </c>
      <c r="C16" s="190">
        <v>11</v>
      </c>
      <c r="F16" s="257">
        <v>44688</v>
      </c>
      <c r="G16" s="258">
        <v>1406</v>
      </c>
      <c r="H16" s="259">
        <v>11.25</v>
      </c>
      <c r="K16" s="276">
        <v>44715</v>
      </c>
      <c r="L16" s="277">
        <v>28</v>
      </c>
      <c r="M16" s="278">
        <v>11</v>
      </c>
      <c r="O16" s="179">
        <v>44720</v>
      </c>
      <c r="P16">
        <v>211</v>
      </c>
      <c r="Q16" s="220">
        <v>14.25</v>
      </c>
      <c r="S16" s="180">
        <v>44751</v>
      </c>
      <c r="T16">
        <v>266</v>
      </c>
      <c r="U16" s="316">
        <v>23.5</v>
      </c>
      <c r="Y16" s="331">
        <v>44783</v>
      </c>
      <c r="Z16" s="250">
        <v>329</v>
      </c>
      <c r="AA16" s="251">
        <v>11.25</v>
      </c>
    </row>
    <row r="17" spans="1:27">
      <c r="A17" s="180">
        <v>44652</v>
      </c>
      <c r="B17" s="181">
        <v>1278</v>
      </c>
      <c r="C17" s="190">
        <v>12</v>
      </c>
      <c r="F17" s="257">
        <v>44688</v>
      </c>
      <c r="G17" s="258">
        <v>1407</v>
      </c>
      <c r="H17" s="259">
        <v>9.5</v>
      </c>
      <c r="K17" s="276">
        <v>44715</v>
      </c>
      <c r="L17" s="277">
        <v>29</v>
      </c>
      <c r="M17" s="278">
        <v>12.5</v>
      </c>
      <c r="O17" s="276">
        <v>44721</v>
      </c>
      <c r="P17" s="277">
        <v>212</v>
      </c>
      <c r="Q17" s="278">
        <v>13.2</v>
      </c>
      <c r="S17" s="180">
        <v>44751</v>
      </c>
      <c r="T17">
        <v>267</v>
      </c>
      <c r="U17" s="316">
        <v>9</v>
      </c>
      <c r="V17" s="28">
        <f>SUM(U16:U17)</f>
        <v>32.5</v>
      </c>
      <c r="Y17" s="331">
        <v>44783</v>
      </c>
      <c r="Z17" s="250">
        <v>330</v>
      </c>
      <c r="AA17" s="251">
        <v>8</v>
      </c>
    </row>
    <row r="18" spans="1:27">
      <c r="A18" s="180">
        <v>44652</v>
      </c>
      <c r="B18" s="181">
        <v>1279</v>
      </c>
      <c r="C18" s="190">
        <v>12.5</v>
      </c>
      <c r="F18" s="257">
        <v>44688</v>
      </c>
      <c r="G18" s="258">
        <v>1408</v>
      </c>
      <c r="H18" s="259">
        <v>12</v>
      </c>
      <c r="K18" s="276">
        <v>44715</v>
      </c>
      <c r="L18" s="277">
        <v>30</v>
      </c>
      <c r="M18" s="278">
        <v>12</v>
      </c>
      <c r="O18" s="276">
        <v>44721</v>
      </c>
      <c r="P18" s="277">
        <v>213</v>
      </c>
      <c r="Q18" s="278">
        <v>3.05</v>
      </c>
      <c r="S18" s="180">
        <v>44752</v>
      </c>
      <c r="T18">
        <v>268</v>
      </c>
      <c r="U18" s="316">
        <v>68.5</v>
      </c>
      <c r="Y18" s="331">
        <v>44783</v>
      </c>
      <c r="Z18" s="250">
        <v>331</v>
      </c>
      <c r="AA18" s="251">
        <v>14.25</v>
      </c>
    </row>
    <row r="19" spans="1:27">
      <c r="A19" s="180">
        <v>44652</v>
      </c>
      <c r="B19" s="181">
        <v>1280</v>
      </c>
      <c r="C19" s="190">
        <v>12</v>
      </c>
      <c r="F19" s="257">
        <v>44688</v>
      </c>
      <c r="G19" s="258">
        <v>1409</v>
      </c>
      <c r="H19" s="259">
        <v>12</v>
      </c>
      <c r="K19" s="276">
        <v>44715</v>
      </c>
      <c r="L19" s="277">
        <v>31</v>
      </c>
      <c r="M19" s="278">
        <v>8.5</v>
      </c>
      <c r="O19" s="180">
        <v>44722</v>
      </c>
      <c r="P19" s="181">
        <v>214</v>
      </c>
      <c r="Q19" s="289">
        <v>19.75</v>
      </c>
      <c r="S19" s="180">
        <v>44752</v>
      </c>
      <c r="T19">
        <v>269</v>
      </c>
      <c r="U19" s="316">
        <v>23.9</v>
      </c>
      <c r="V19" s="28">
        <f>SUM(U18:U19)</f>
        <v>92.4</v>
      </c>
      <c r="Y19" s="331">
        <v>44783</v>
      </c>
      <c r="Z19" s="250">
        <v>332</v>
      </c>
      <c r="AA19" s="251">
        <v>11.5</v>
      </c>
    </row>
    <row r="20" spans="1:27">
      <c r="A20" s="180">
        <v>44652</v>
      </c>
      <c r="B20" s="181">
        <v>1281</v>
      </c>
      <c r="C20" s="190">
        <v>12</v>
      </c>
      <c r="F20" s="257">
        <v>44688</v>
      </c>
      <c r="G20" s="258">
        <v>1410</v>
      </c>
      <c r="H20" s="259">
        <v>12</v>
      </c>
      <c r="K20" s="276">
        <v>44715</v>
      </c>
      <c r="L20" s="277">
        <v>32</v>
      </c>
      <c r="M20" s="278">
        <v>10</v>
      </c>
      <c r="O20" s="180">
        <v>44722</v>
      </c>
      <c r="P20" s="181">
        <v>215</v>
      </c>
      <c r="Q20" s="289">
        <v>2.75</v>
      </c>
      <c r="S20" s="180">
        <v>44753</v>
      </c>
      <c r="T20">
        <v>270</v>
      </c>
      <c r="U20" s="316">
        <v>11.5</v>
      </c>
      <c r="Y20" s="331">
        <v>44783</v>
      </c>
      <c r="Z20" s="250">
        <v>333</v>
      </c>
      <c r="AA20" s="251">
        <v>8.5</v>
      </c>
    </row>
    <row r="21" spans="1:27">
      <c r="A21" s="180">
        <v>44652</v>
      </c>
      <c r="B21" s="181">
        <v>1282</v>
      </c>
      <c r="C21" s="190">
        <v>10</v>
      </c>
      <c r="F21" s="257">
        <v>44688</v>
      </c>
      <c r="G21" s="258">
        <v>1411</v>
      </c>
      <c r="H21" s="259">
        <v>12</v>
      </c>
      <c r="K21" s="276">
        <v>44715</v>
      </c>
      <c r="L21" s="277">
        <v>33</v>
      </c>
      <c r="M21" s="278">
        <v>12</v>
      </c>
      <c r="O21" s="276">
        <v>44723</v>
      </c>
      <c r="P21" s="277">
        <v>216</v>
      </c>
      <c r="Q21" s="278">
        <v>67.75</v>
      </c>
      <c r="S21" s="180">
        <v>44753</v>
      </c>
      <c r="T21">
        <v>271</v>
      </c>
      <c r="U21" s="316">
        <v>3.5</v>
      </c>
      <c r="V21" s="28">
        <f>SUM(U20:U21)</f>
        <v>15</v>
      </c>
      <c r="Y21" s="331">
        <v>44783</v>
      </c>
      <c r="Z21" s="250">
        <v>334</v>
      </c>
      <c r="AA21" s="251">
        <v>10</v>
      </c>
    </row>
    <row r="22" spans="1:27">
      <c r="A22" s="180">
        <v>44652</v>
      </c>
      <c r="B22" s="181">
        <v>1283</v>
      </c>
      <c r="C22" s="190">
        <v>10</v>
      </c>
      <c r="F22" s="257">
        <v>44688</v>
      </c>
      <c r="G22" s="258">
        <v>1412</v>
      </c>
      <c r="H22" s="259">
        <v>12</v>
      </c>
      <c r="K22" s="276">
        <v>44715</v>
      </c>
      <c r="L22" s="277">
        <v>34</v>
      </c>
      <c r="M22" s="278">
        <v>11</v>
      </c>
      <c r="O22" s="276">
        <v>44723</v>
      </c>
      <c r="P22" s="277">
        <v>217</v>
      </c>
      <c r="Q22" s="278">
        <v>2.9</v>
      </c>
      <c r="S22" s="180">
        <v>44754</v>
      </c>
      <c r="T22">
        <v>272</v>
      </c>
      <c r="U22" s="316">
        <v>18.75</v>
      </c>
      <c r="Y22" s="331">
        <v>44783</v>
      </c>
      <c r="Z22" s="250">
        <v>335</v>
      </c>
      <c r="AA22" s="251">
        <v>16.5</v>
      </c>
    </row>
    <row r="23" spans="1:27">
      <c r="A23" s="180">
        <v>44652</v>
      </c>
      <c r="B23" s="181">
        <v>1284</v>
      </c>
      <c r="C23" s="190">
        <v>12.5</v>
      </c>
      <c r="F23" s="257">
        <v>44688</v>
      </c>
      <c r="G23" s="258">
        <v>1413</v>
      </c>
      <c r="H23" s="259">
        <v>10.25</v>
      </c>
      <c r="K23" s="276">
        <v>44715</v>
      </c>
      <c r="L23" s="277">
        <v>35</v>
      </c>
      <c r="M23" s="278">
        <v>10.5</v>
      </c>
      <c r="O23" s="179">
        <v>44724</v>
      </c>
      <c r="P23">
        <v>218</v>
      </c>
      <c r="Q23" s="220">
        <v>5</v>
      </c>
      <c r="S23" s="180">
        <v>44754</v>
      </c>
      <c r="T23">
        <v>273</v>
      </c>
      <c r="U23" s="316">
        <v>25.75</v>
      </c>
      <c r="V23" s="28">
        <f>SUM(U22:U23)</f>
        <v>44.5</v>
      </c>
      <c r="Y23" s="331">
        <v>44783</v>
      </c>
      <c r="Z23" s="250">
        <v>336</v>
      </c>
      <c r="AA23" s="251">
        <v>10.25</v>
      </c>
    </row>
    <row r="24" spans="1:27">
      <c r="A24" s="180">
        <v>44652</v>
      </c>
      <c r="B24" s="181">
        <v>1285</v>
      </c>
      <c r="C24" s="190">
        <v>10</v>
      </c>
      <c r="D24" s="28">
        <f>SUM(C1:C24)</f>
        <v>261.25</v>
      </c>
      <c r="F24" s="257">
        <v>44688</v>
      </c>
      <c r="G24" s="258">
        <v>1414</v>
      </c>
      <c r="H24" s="259">
        <v>13</v>
      </c>
      <c r="K24" s="276">
        <v>44715</v>
      </c>
      <c r="L24" s="277">
        <v>36</v>
      </c>
      <c r="M24" s="278">
        <v>10</v>
      </c>
      <c r="O24" s="276">
        <v>44725</v>
      </c>
      <c r="P24" s="277">
        <v>219</v>
      </c>
      <c r="Q24" s="278">
        <v>26.25</v>
      </c>
      <c r="S24" s="180">
        <v>44755</v>
      </c>
      <c r="T24">
        <v>274</v>
      </c>
      <c r="U24" s="316">
        <v>8.25</v>
      </c>
      <c r="V24" s="28">
        <f>U24</f>
        <v>8.25</v>
      </c>
      <c r="Y24" s="331">
        <v>44783</v>
      </c>
      <c r="Z24" s="250">
        <v>337</v>
      </c>
      <c r="AA24" s="251">
        <v>11</v>
      </c>
    </row>
    <row r="25" spans="1:27">
      <c r="A25" s="184">
        <v>44657</v>
      </c>
      <c r="B25" s="185">
        <v>1286</v>
      </c>
      <c r="C25" s="220">
        <v>11</v>
      </c>
      <c r="F25" s="257">
        <v>44688</v>
      </c>
      <c r="G25" s="258">
        <v>1415</v>
      </c>
      <c r="H25" s="259">
        <v>12.5</v>
      </c>
      <c r="K25" s="276">
        <v>44715</v>
      </c>
      <c r="L25" s="277">
        <v>37</v>
      </c>
      <c r="M25" s="278">
        <v>9.75</v>
      </c>
      <c r="O25" s="276">
        <v>44725</v>
      </c>
      <c r="P25" s="277">
        <v>220</v>
      </c>
      <c r="Q25" s="278">
        <v>5.25</v>
      </c>
      <c r="S25" s="180">
        <v>44756</v>
      </c>
      <c r="T25">
        <v>275</v>
      </c>
      <c r="U25" s="316">
        <v>29.75</v>
      </c>
      <c r="Y25" s="331">
        <v>44783</v>
      </c>
      <c r="Z25" s="250">
        <v>338</v>
      </c>
      <c r="AA25" s="251">
        <v>9.5</v>
      </c>
    </row>
    <row r="26" spans="1:27">
      <c r="A26" s="184">
        <v>44657</v>
      </c>
      <c r="B26" s="185">
        <v>1287</v>
      </c>
      <c r="C26" s="220">
        <v>10</v>
      </c>
      <c r="F26" s="257">
        <v>44688</v>
      </c>
      <c r="G26" s="258">
        <v>1416</v>
      </c>
      <c r="H26" s="259">
        <v>14.25</v>
      </c>
      <c r="K26" s="276">
        <v>44715</v>
      </c>
      <c r="L26" s="277">
        <v>38</v>
      </c>
      <c r="M26" s="278">
        <v>11.5</v>
      </c>
      <c r="O26" s="276">
        <v>44725</v>
      </c>
      <c r="P26" s="277">
        <v>221</v>
      </c>
      <c r="Q26" s="278">
        <v>21.25</v>
      </c>
      <c r="S26" s="180">
        <v>44756</v>
      </c>
      <c r="T26">
        <v>276</v>
      </c>
      <c r="U26" s="316">
        <v>5.05</v>
      </c>
      <c r="V26" s="28">
        <f>SUM(U25:U26)</f>
        <v>34.799999999999997</v>
      </c>
      <c r="Y26" s="331">
        <v>44783</v>
      </c>
      <c r="Z26" s="250">
        <v>339</v>
      </c>
      <c r="AA26" s="251">
        <v>11.25</v>
      </c>
    </row>
    <row r="27" spans="1:27">
      <c r="A27" s="184">
        <v>44657</v>
      </c>
      <c r="B27" s="185">
        <v>1288</v>
      </c>
      <c r="C27" s="220">
        <v>12.25</v>
      </c>
      <c r="F27" s="257">
        <v>44688</v>
      </c>
      <c r="G27" s="258">
        <v>1417</v>
      </c>
      <c r="H27" s="259">
        <v>12</v>
      </c>
      <c r="K27" s="276">
        <v>44715</v>
      </c>
      <c r="L27" s="277">
        <v>39</v>
      </c>
      <c r="M27" s="278">
        <v>12</v>
      </c>
      <c r="O27" s="179">
        <v>44726</v>
      </c>
      <c r="P27">
        <v>222</v>
      </c>
      <c r="Q27" s="220">
        <v>2.75</v>
      </c>
      <c r="S27" s="180">
        <v>44757</v>
      </c>
      <c r="T27">
        <v>277</v>
      </c>
      <c r="U27" s="316">
        <v>41.75</v>
      </c>
      <c r="Y27" s="331">
        <v>44783</v>
      </c>
      <c r="Z27" s="250">
        <v>340</v>
      </c>
      <c r="AA27" s="251">
        <v>11.25</v>
      </c>
    </row>
    <row r="28" spans="1:27">
      <c r="A28" s="184">
        <v>44657</v>
      </c>
      <c r="B28" s="185">
        <v>1289</v>
      </c>
      <c r="C28" s="220">
        <v>12</v>
      </c>
      <c r="F28" s="257">
        <v>44688</v>
      </c>
      <c r="G28" s="258">
        <v>1418</v>
      </c>
      <c r="H28" s="259">
        <v>10.5</v>
      </c>
      <c r="K28" s="276">
        <v>44715</v>
      </c>
      <c r="L28" s="277">
        <v>40</v>
      </c>
      <c r="M28" s="278">
        <v>12.5</v>
      </c>
      <c r="O28" s="180">
        <v>44727</v>
      </c>
      <c r="P28" s="181">
        <v>223</v>
      </c>
      <c r="Q28" s="289">
        <v>12.5</v>
      </c>
      <c r="S28" s="180">
        <v>44757</v>
      </c>
      <c r="T28">
        <v>278</v>
      </c>
      <c r="U28" s="316">
        <v>3.55</v>
      </c>
      <c r="V28" s="28">
        <f>SUM(U27:U28)</f>
        <v>45.3</v>
      </c>
      <c r="Y28" s="331">
        <v>44783</v>
      </c>
      <c r="Z28" s="250">
        <v>341</v>
      </c>
      <c r="AA28" s="251">
        <v>12.5</v>
      </c>
    </row>
    <row r="29" spans="1:27">
      <c r="A29" s="184">
        <v>44657</v>
      </c>
      <c r="B29" s="185">
        <v>1290</v>
      </c>
      <c r="C29" s="220">
        <v>10</v>
      </c>
      <c r="F29" s="257">
        <v>44688</v>
      </c>
      <c r="G29" s="258">
        <v>1419</v>
      </c>
      <c r="H29" s="259">
        <v>11</v>
      </c>
      <c r="K29" s="276">
        <v>44715</v>
      </c>
      <c r="L29" s="277">
        <v>41</v>
      </c>
      <c r="M29" s="278">
        <v>11</v>
      </c>
      <c r="O29" s="180">
        <v>44727</v>
      </c>
      <c r="P29" s="181">
        <v>224</v>
      </c>
      <c r="Q29" s="289">
        <v>5.35</v>
      </c>
      <c r="S29" s="180">
        <v>44758</v>
      </c>
      <c r="T29">
        <v>279</v>
      </c>
      <c r="U29" s="316">
        <v>32.75</v>
      </c>
      <c r="Y29" s="331">
        <v>44783</v>
      </c>
      <c r="Z29" s="250">
        <v>342</v>
      </c>
      <c r="AA29" s="251">
        <v>11.5</v>
      </c>
    </row>
    <row r="30" spans="1:27">
      <c r="A30" s="184">
        <v>44657</v>
      </c>
      <c r="B30" s="185">
        <v>1291</v>
      </c>
      <c r="C30" s="220">
        <v>8.25</v>
      </c>
      <c r="F30" s="257">
        <v>44688</v>
      </c>
      <c r="G30" s="258">
        <v>1420</v>
      </c>
      <c r="H30" s="259">
        <v>12</v>
      </c>
      <c r="K30" s="276">
        <v>44715</v>
      </c>
      <c r="L30" s="277">
        <v>42</v>
      </c>
      <c r="M30" s="278">
        <v>12.25</v>
      </c>
      <c r="O30" s="180">
        <v>44727</v>
      </c>
      <c r="P30" s="181">
        <v>225</v>
      </c>
      <c r="Q30" s="289">
        <v>28</v>
      </c>
      <c r="S30" s="180">
        <v>44758</v>
      </c>
      <c r="T30">
        <v>280</v>
      </c>
      <c r="U30" s="316">
        <v>7.8</v>
      </c>
      <c r="V30" s="28">
        <f>SUM(U29:U30)</f>
        <v>40.549999999999997</v>
      </c>
      <c r="Y30" s="331">
        <v>44783</v>
      </c>
      <c r="Z30" s="250">
        <v>343</v>
      </c>
      <c r="AA30" s="251">
        <v>10</v>
      </c>
    </row>
    <row r="31" spans="1:27">
      <c r="A31" s="184">
        <v>44657</v>
      </c>
      <c r="B31" s="185">
        <v>1292</v>
      </c>
      <c r="C31" s="220">
        <v>11</v>
      </c>
      <c r="F31" s="257">
        <v>44688</v>
      </c>
      <c r="G31" s="258">
        <v>1421</v>
      </c>
      <c r="H31" s="259">
        <v>10</v>
      </c>
      <c r="K31" s="276">
        <v>44715</v>
      </c>
      <c r="L31" s="277">
        <v>43</v>
      </c>
      <c r="M31" s="278">
        <v>10</v>
      </c>
      <c r="O31" s="179">
        <v>44728</v>
      </c>
      <c r="P31">
        <v>226</v>
      </c>
      <c r="Q31" s="220">
        <v>7.5</v>
      </c>
      <c r="S31" s="180">
        <v>44759</v>
      </c>
      <c r="T31">
        <v>281</v>
      </c>
      <c r="U31" s="316">
        <v>11.6</v>
      </c>
      <c r="Y31" s="331">
        <v>44783</v>
      </c>
      <c r="Z31" s="250">
        <v>344</v>
      </c>
      <c r="AA31" s="251">
        <v>12</v>
      </c>
    </row>
    <row r="32" spans="1:27">
      <c r="A32" s="184">
        <v>44657</v>
      </c>
      <c r="B32" s="185">
        <v>1293</v>
      </c>
      <c r="C32" s="220">
        <v>8.25</v>
      </c>
      <c r="F32" s="257">
        <v>44688</v>
      </c>
      <c r="G32" s="258">
        <v>1422</v>
      </c>
      <c r="H32" s="259">
        <v>13.5</v>
      </c>
      <c r="K32" s="276">
        <v>44715</v>
      </c>
      <c r="L32" s="277">
        <v>44</v>
      </c>
      <c r="M32" s="278">
        <v>12</v>
      </c>
      <c r="O32" s="179">
        <v>44729</v>
      </c>
      <c r="P32">
        <v>227</v>
      </c>
      <c r="Q32" s="220">
        <v>18.600000000000001</v>
      </c>
      <c r="S32" s="180">
        <v>44759</v>
      </c>
      <c r="T32">
        <v>282</v>
      </c>
      <c r="U32" s="316">
        <v>2.5</v>
      </c>
      <c r="V32" s="28">
        <f>SUM(U31:U32)</f>
        <v>14.1</v>
      </c>
      <c r="Y32" s="331">
        <v>44783</v>
      </c>
      <c r="Z32" s="250">
        <v>345</v>
      </c>
      <c r="AA32" s="251">
        <v>10.5</v>
      </c>
    </row>
    <row r="33" spans="1:28">
      <c r="A33" s="184">
        <v>44657</v>
      </c>
      <c r="B33" s="185">
        <v>1294</v>
      </c>
      <c r="C33" s="220">
        <v>12</v>
      </c>
      <c r="F33" s="257">
        <v>44688</v>
      </c>
      <c r="G33" s="258">
        <v>1423</v>
      </c>
      <c r="H33" s="259">
        <v>12</v>
      </c>
      <c r="I33" s="28">
        <f>SUM(H16:H33)</f>
        <v>211.75</v>
      </c>
      <c r="J33" s="28"/>
      <c r="K33" s="276">
        <v>44715</v>
      </c>
      <c r="L33" s="277">
        <v>45</v>
      </c>
      <c r="M33" s="278">
        <v>12.5</v>
      </c>
      <c r="O33" s="276">
        <v>44730</v>
      </c>
      <c r="P33" s="277">
        <v>228</v>
      </c>
      <c r="Q33" s="278">
        <v>33.25</v>
      </c>
      <c r="S33" s="180">
        <v>44760</v>
      </c>
      <c r="T33">
        <v>283</v>
      </c>
      <c r="U33" s="316">
        <v>13</v>
      </c>
      <c r="Y33" s="331">
        <v>44783</v>
      </c>
      <c r="Z33" s="250">
        <v>346</v>
      </c>
      <c r="AA33" s="251">
        <v>10.5</v>
      </c>
    </row>
    <row r="34" spans="1:28">
      <c r="A34" s="184">
        <v>44657</v>
      </c>
      <c r="B34" s="185">
        <v>1295</v>
      </c>
      <c r="C34" s="220">
        <v>10</v>
      </c>
      <c r="F34" s="260">
        <v>44692</v>
      </c>
      <c r="G34" s="261">
        <v>1424</v>
      </c>
      <c r="H34" s="262">
        <v>11.5</v>
      </c>
      <c r="K34" s="180">
        <v>44720</v>
      </c>
      <c r="L34" s="288">
        <v>46</v>
      </c>
      <c r="M34" s="289">
        <v>9</v>
      </c>
      <c r="O34" s="276">
        <v>44730</v>
      </c>
      <c r="P34" s="277">
        <v>229</v>
      </c>
      <c r="Q34" s="278">
        <v>2.5</v>
      </c>
      <c r="S34" s="180">
        <v>44760</v>
      </c>
      <c r="T34">
        <v>284</v>
      </c>
      <c r="U34" s="316">
        <v>6.45</v>
      </c>
      <c r="Y34" s="331">
        <v>44783</v>
      </c>
      <c r="Z34" s="250">
        <v>347</v>
      </c>
      <c r="AA34" s="251">
        <v>10.75</v>
      </c>
      <c r="AB34" s="28">
        <f>SUM(AA16:AA34)</f>
        <v>211</v>
      </c>
    </row>
    <row r="35" spans="1:28">
      <c r="A35" s="184">
        <v>44657</v>
      </c>
      <c r="B35" s="185">
        <v>1296</v>
      </c>
      <c r="C35" s="220">
        <v>12</v>
      </c>
      <c r="F35" s="260">
        <v>44692</v>
      </c>
      <c r="G35" s="261">
        <v>1425</v>
      </c>
      <c r="H35" s="262">
        <v>12</v>
      </c>
      <c r="K35" s="180">
        <v>44720</v>
      </c>
      <c r="L35" s="288">
        <v>47</v>
      </c>
      <c r="M35" s="289">
        <v>12.25</v>
      </c>
      <c r="O35" s="276">
        <v>44731</v>
      </c>
      <c r="P35" s="277">
        <v>230</v>
      </c>
      <c r="Q35" s="278">
        <v>31.75</v>
      </c>
      <c r="S35" s="180">
        <v>44760</v>
      </c>
      <c r="T35">
        <v>285</v>
      </c>
      <c r="U35" s="316">
        <v>4.25</v>
      </c>
      <c r="V35" s="28">
        <f>SUM(U33:U35)</f>
        <v>23.7</v>
      </c>
      <c r="Y35" s="179">
        <v>44785</v>
      </c>
      <c r="Z35">
        <v>348</v>
      </c>
      <c r="AA35" s="316">
        <v>12</v>
      </c>
    </row>
    <row r="36" spans="1:28">
      <c r="A36" s="184">
        <v>44657</v>
      </c>
      <c r="B36" s="185">
        <v>1297</v>
      </c>
      <c r="C36" s="220">
        <v>12</v>
      </c>
      <c r="F36" s="260">
        <v>44692</v>
      </c>
      <c r="G36" s="261">
        <v>1426</v>
      </c>
      <c r="H36" s="262">
        <v>14</v>
      </c>
      <c r="K36" s="180">
        <v>44720</v>
      </c>
      <c r="L36" s="288">
        <v>48</v>
      </c>
      <c r="M36" s="289">
        <v>11</v>
      </c>
      <c r="O36" s="276">
        <v>44731</v>
      </c>
      <c r="P36" s="277">
        <v>231</v>
      </c>
      <c r="Q36" s="278">
        <v>4.5999999999999996</v>
      </c>
      <c r="S36" s="180">
        <v>44761</v>
      </c>
      <c r="T36">
        <v>286</v>
      </c>
      <c r="U36" s="316">
        <v>5</v>
      </c>
      <c r="Y36" s="179">
        <v>44785</v>
      </c>
      <c r="Z36">
        <v>349</v>
      </c>
      <c r="AA36" s="316">
        <v>14.25</v>
      </c>
    </row>
    <row r="37" spans="1:28">
      <c r="A37" s="184">
        <v>44657</v>
      </c>
      <c r="B37" s="185">
        <v>1298</v>
      </c>
      <c r="C37" s="220">
        <v>12</v>
      </c>
      <c r="F37" s="260">
        <v>44692</v>
      </c>
      <c r="G37" s="261">
        <v>1427</v>
      </c>
      <c r="H37" s="262">
        <v>10</v>
      </c>
      <c r="K37" s="180">
        <v>44720</v>
      </c>
      <c r="L37" s="288">
        <v>49</v>
      </c>
      <c r="M37" s="289">
        <v>9.5</v>
      </c>
      <c r="O37" s="180">
        <v>44732</v>
      </c>
      <c r="P37" s="181">
        <v>232</v>
      </c>
      <c r="Q37" s="289">
        <v>13.75</v>
      </c>
      <c r="S37" s="180">
        <v>44761</v>
      </c>
      <c r="T37">
        <v>287</v>
      </c>
      <c r="U37" s="316">
        <v>20.75</v>
      </c>
      <c r="V37" s="28">
        <f>SUM(U36:U37)</f>
        <v>25.75</v>
      </c>
      <c r="Y37" s="179">
        <v>44785</v>
      </c>
      <c r="Z37">
        <v>350</v>
      </c>
      <c r="AA37" s="316">
        <v>12</v>
      </c>
    </row>
    <row r="38" spans="1:28">
      <c r="A38" s="184">
        <v>44657</v>
      </c>
      <c r="B38" s="185">
        <v>1299</v>
      </c>
      <c r="C38" s="220">
        <v>12</v>
      </c>
      <c r="F38" s="260">
        <v>44692</v>
      </c>
      <c r="G38" s="261">
        <v>1428</v>
      </c>
      <c r="H38" s="262">
        <v>13</v>
      </c>
      <c r="K38" s="180">
        <v>44720</v>
      </c>
      <c r="L38" s="288">
        <v>50</v>
      </c>
      <c r="M38" s="289">
        <v>12</v>
      </c>
      <c r="O38" s="180">
        <v>44732</v>
      </c>
      <c r="P38" s="181">
        <v>233</v>
      </c>
      <c r="Q38" s="289">
        <v>3.35</v>
      </c>
      <c r="S38" s="180">
        <v>44762</v>
      </c>
      <c r="T38">
        <v>288</v>
      </c>
      <c r="U38" s="316">
        <v>1.25</v>
      </c>
      <c r="V38" s="28">
        <f>U38</f>
        <v>1.25</v>
      </c>
      <c r="Y38" s="179">
        <v>44785</v>
      </c>
      <c r="Z38">
        <v>351</v>
      </c>
      <c r="AA38" s="316">
        <v>11.5</v>
      </c>
    </row>
    <row r="39" spans="1:28">
      <c r="A39" s="184">
        <v>44657</v>
      </c>
      <c r="B39" s="185">
        <v>1300</v>
      </c>
      <c r="C39" s="220">
        <v>10</v>
      </c>
      <c r="D39" s="28">
        <f>SUM(C25:C39)</f>
        <v>162.75</v>
      </c>
      <c r="F39" s="260">
        <v>44692</v>
      </c>
      <c r="G39" s="261">
        <v>1429</v>
      </c>
      <c r="H39" s="262">
        <v>12</v>
      </c>
      <c r="K39" s="180">
        <v>44720</v>
      </c>
      <c r="L39" s="288">
        <v>51</v>
      </c>
      <c r="M39" s="289">
        <v>10.25</v>
      </c>
      <c r="O39" s="180">
        <v>44732</v>
      </c>
      <c r="P39" s="181">
        <v>234</v>
      </c>
      <c r="Q39" s="289">
        <v>31.75</v>
      </c>
      <c r="S39" s="180">
        <v>44763</v>
      </c>
      <c r="T39">
        <v>289</v>
      </c>
      <c r="U39" s="316">
        <v>13.25</v>
      </c>
      <c r="Y39" s="179">
        <v>44785</v>
      </c>
      <c r="Z39">
        <v>352</v>
      </c>
      <c r="AA39" s="316">
        <v>10</v>
      </c>
    </row>
    <row r="40" spans="1:28">
      <c r="A40" s="235">
        <v>44659</v>
      </c>
      <c r="B40" s="236">
        <v>1301</v>
      </c>
      <c r="C40" s="237">
        <v>10</v>
      </c>
      <c r="F40" s="260">
        <v>44692</v>
      </c>
      <c r="G40" s="261">
        <v>1430</v>
      </c>
      <c r="H40" s="262">
        <v>12</v>
      </c>
      <c r="K40" s="180">
        <v>44720</v>
      </c>
      <c r="L40" s="288">
        <v>52</v>
      </c>
      <c r="M40" s="289">
        <v>11.5</v>
      </c>
      <c r="O40" s="179">
        <v>44733</v>
      </c>
      <c r="P40">
        <v>235</v>
      </c>
      <c r="Q40" s="220">
        <v>3.05</v>
      </c>
      <c r="S40" s="180">
        <v>44763</v>
      </c>
      <c r="T40">
        <v>290</v>
      </c>
      <c r="U40" s="316">
        <v>1.6</v>
      </c>
      <c r="Y40" s="179">
        <v>44785</v>
      </c>
      <c r="Z40">
        <v>353</v>
      </c>
      <c r="AA40" s="316">
        <v>10</v>
      </c>
    </row>
    <row r="41" spans="1:28">
      <c r="A41" s="235"/>
      <c r="B41" s="236"/>
      <c r="C41" s="237"/>
      <c r="F41" s="260"/>
      <c r="G41" s="261"/>
      <c r="H41" s="262"/>
      <c r="K41" s="180"/>
      <c r="L41" s="288"/>
      <c r="M41" s="289"/>
      <c r="O41" s="179"/>
      <c r="Q41" s="220"/>
      <c r="S41" s="180"/>
      <c r="U41" s="316"/>
      <c r="Y41" s="179">
        <v>44785</v>
      </c>
      <c r="Z41">
        <v>354</v>
      </c>
      <c r="AA41" s="316">
        <v>10</v>
      </c>
    </row>
    <row r="42" spans="1:28">
      <c r="A42" s="235">
        <v>44659</v>
      </c>
      <c r="B42" s="236">
        <v>1302</v>
      </c>
      <c r="C42" s="237">
        <v>11.5</v>
      </c>
      <c r="F42" s="260">
        <v>44692</v>
      </c>
      <c r="G42" s="261">
        <v>1431</v>
      </c>
      <c r="H42" s="262">
        <v>12</v>
      </c>
      <c r="K42" s="180">
        <v>44720</v>
      </c>
      <c r="L42" s="288">
        <v>53</v>
      </c>
      <c r="M42" s="289">
        <v>12</v>
      </c>
      <c r="O42" s="276">
        <v>44734</v>
      </c>
      <c r="P42" s="277">
        <v>236</v>
      </c>
      <c r="Q42" s="278">
        <v>38.5</v>
      </c>
      <c r="S42" s="180">
        <v>44763</v>
      </c>
      <c r="T42">
        <v>291</v>
      </c>
      <c r="U42" s="316">
        <v>17.5</v>
      </c>
      <c r="V42" s="28">
        <f>SUM(U39:U42)</f>
        <v>32.35</v>
      </c>
      <c r="Y42" s="179">
        <v>44785</v>
      </c>
      <c r="Z42">
        <v>355</v>
      </c>
      <c r="AA42" s="316">
        <v>10.75</v>
      </c>
    </row>
    <row r="43" spans="1:28">
      <c r="A43" s="235">
        <v>44659</v>
      </c>
      <c r="B43" s="236">
        <v>1303</v>
      </c>
      <c r="C43" s="237">
        <v>12</v>
      </c>
      <c r="F43" s="260">
        <v>44692</v>
      </c>
      <c r="G43" s="261">
        <v>1432</v>
      </c>
      <c r="H43" s="262">
        <v>9.5</v>
      </c>
      <c r="K43" s="180">
        <v>44720</v>
      </c>
      <c r="L43" s="288">
        <v>54</v>
      </c>
      <c r="M43" s="289">
        <v>12</v>
      </c>
      <c r="O43" s="276">
        <v>44734</v>
      </c>
      <c r="P43" s="277">
        <v>237</v>
      </c>
      <c r="Q43" s="278">
        <v>11.2</v>
      </c>
      <c r="S43" s="180">
        <v>44765</v>
      </c>
      <c r="T43">
        <v>292</v>
      </c>
      <c r="U43" s="316">
        <v>24.5</v>
      </c>
      <c r="V43" s="28">
        <f>U43</f>
        <v>24.5</v>
      </c>
      <c r="Y43" s="179">
        <v>44785</v>
      </c>
      <c r="Z43">
        <v>356</v>
      </c>
      <c r="AA43" s="316">
        <v>10.75</v>
      </c>
    </row>
    <row r="44" spans="1:28">
      <c r="A44" s="235">
        <v>44659</v>
      </c>
      <c r="B44" s="236">
        <v>1304</v>
      </c>
      <c r="C44" s="237">
        <v>11.25</v>
      </c>
      <c r="F44" s="260">
        <v>44692</v>
      </c>
      <c r="G44" s="261">
        <v>1433</v>
      </c>
      <c r="H44" s="262">
        <v>12</v>
      </c>
      <c r="K44" s="180">
        <v>44720</v>
      </c>
      <c r="L44" s="288">
        <v>55</v>
      </c>
      <c r="M44" s="289">
        <v>12.75</v>
      </c>
      <c r="O44" s="180">
        <v>44735</v>
      </c>
      <c r="P44" s="181">
        <v>238</v>
      </c>
      <c r="Q44" s="289">
        <v>27</v>
      </c>
      <c r="S44" s="180">
        <v>44766</v>
      </c>
      <c r="T44">
        <v>293</v>
      </c>
      <c r="U44" s="316">
        <v>51.8</v>
      </c>
      <c r="Y44" s="179">
        <v>44785</v>
      </c>
      <c r="Z44">
        <v>357</v>
      </c>
      <c r="AA44" s="316">
        <v>10</v>
      </c>
    </row>
    <row r="45" spans="1:28">
      <c r="A45" s="235">
        <v>44659</v>
      </c>
      <c r="B45" s="236">
        <v>1305</v>
      </c>
      <c r="C45" s="237">
        <v>10</v>
      </c>
      <c r="F45" s="260">
        <v>44692</v>
      </c>
      <c r="G45" s="261">
        <v>1434</v>
      </c>
      <c r="H45" s="262">
        <v>11</v>
      </c>
      <c r="K45" s="180">
        <v>44720</v>
      </c>
      <c r="L45" s="288">
        <v>56</v>
      </c>
      <c r="M45" s="289">
        <v>10.75</v>
      </c>
      <c r="O45" s="180">
        <v>44735</v>
      </c>
      <c r="P45" s="181">
        <v>239</v>
      </c>
      <c r="Q45" s="289">
        <v>7</v>
      </c>
      <c r="S45" s="180">
        <v>44766</v>
      </c>
      <c r="T45">
        <v>294</v>
      </c>
      <c r="U45" s="316">
        <v>6.1</v>
      </c>
      <c r="V45" s="28">
        <f>SUM(U44:U45)</f>
        <v>57.9</v>
      </c>
      <c r="Y45" s="179">
        <v>44785</v>
      </c>
      <c r="Z45">
        <v>358</v>
      </c>
      <c r="AA45" s="316">
        <v>9.5</v>
      </c>
    </row>
    <row r="46" spans="1:28">
      <c r="A46" s="235">
        <v>44659</v>
      </c>
      <c r="B46" s="236">
        <v>1306</v>
      </c>
      <c r="C46" s="237">
        <v>11.5</v>
      </c>
      <c r="F46" s="260">
        <v>44692</v>
      </c>
      <c r="G46" s="261">
        <v>1435</v>
      </c>
      <c r="H46" s="262">
        <v>12</v>
      </c>
      <c r="K46" s="180">
        <v>44720</v>
      </c>
      <c r="L46" s="288">
        <v>57</v>
      </c>
      <c r="M46" s="289">
        <v>10.5</v>
      </c>
      <c r="O46" s="180">
        <v>44736</v>
      </c>
      <c r="P46" s="181">
        <v>240</v>
      </c>
      <c r="Q46" s="289">
        <v>22.25</v>
      </c>
      <c r="S46" s="180">
        <v>44767</v>
      </c>
      <c r="T46">
        <v>295</v>
      </c>
      <c r="U46" s="316">
        <v>2.25</v>
      </c>
      <c r="V46" s="28">
        <f>U46</f>
        <v>2.25</v>
      </c>
      <c r="Y46" s="179">
        <v>44785</v>
      </c>
      <c r="Z46">
        <v>359</v>
      </c>
      <c r="AA46" s="316">
        <v>7.5</v>
      </c>
    </row>
    <row r="47" spans="1:28">
      <c r="A47" s="235">
        <v>44659</v>
      </c>
      <c r="B47" s="236">
        <v>1307</v>
      </c>
      <c r="C47" s="237">
        <v>11</v>
      </c>
      <c r="F47" s="260">
        <v>44692</v>
      </c>
      <c r="G47" s="261">
        <v>1436</v>
      </c>
      <c r="H47" s="262">
        <v>12.5</v>
      </c>
      <c r="I47" s="28">
        <f>SUM(H34:H47)</f>
        <v>153.5</v>
      </c>
      <c r="J47" s="28"/>
      <c r="K47" s="290">
        <v>44722</v>
      </c>
      <c r="L47" s="291">
        <v>58</v>
      </c>
      <c r="M47" s="292">
        <v>10.5</v>
      </c>
      <c r="O47" s="180">
        <v>44736</v>
      </c>
      <c r="P47" s="181">
        <v>241</v>
      </c>
      <c r="Q47" s="289">
        <v>4.5</v>
      </c>
      <c r="S47" s="180">
        <v>44768</v>
      </c>
      <c r="T47">
        <v>296</v>
      </c>
      <c r="U47" s="316">
        <v>13.5</v>
      </c>
      <c r="Y47" s="179">
        <v>44785</v>
      </c>
      <c r="Z47">
        <v>360</v>
      </c>
      <c r="AA47" s="316">
        <v>12</v>
      </c>
    </row>
    <row r="48" spans="1:28">
      <c r="A48" s="235">
        <v>44659</v>
      </c>
      <c r="B48" s="236">
        <v>1308</v>
      </c>
      <c r="C48" s="237">
        <v>11</v>
      </c>
      <c r="F48" s="233">
        <v>44694</v>
      </c>
      <c r="G48" s="263">
        <v>1437</v>
      </c>
      <c r="H48" s="234">
        <v>13.75</v>
      </c>
      <c r="K48" s="290">
        <v>44722</v>
      </c>
      <c r="L48" s="291">
        <v>59</v>
      </c>
      <c r="M48" s="292">
        <v>10.25</v>
      </c>
      <c r="O48" s="180">
        <v>44737</v>
      </c>
      <c r="P48" s="181">
        <v>242</v>
      </c>
      <c r="Q48" s="289">
        <v>49.25</v>
      </c>
      <c r="S48" s="180">
        <v>44768</v>
      </c>
      <c r="T48">
        <v>297</v>
      </c>
      <c r="U48" s="316">
        <v>4.75</v>
      </c>
      <c r="V48" s="28">
        <f>SUM(U47:U48)</f>
        <v>18.25</v>
      </c>
      <c r="Y48" s="179">
        <v>44785</v>
      </c>
      <c r="Z48">
        <v>361</v>
      </c>
      <c r="AA48" s="316">
        <v>12</v>
      </c>
    </row>
    <row r="49" spans="1:28">
      <c r="A49" s="235">
        <v>44659</v>
      </c>
      <c r="B49" s="236">
        <v>1309</v>
      </c>
      <c r="C49" s="237">
        <v>12.25</v>
      </c>
      <c r="F49" s="233">
        <v>44694</v>
      </c>
      <c r="G49" s="263">
        <v>1438</v>
      </c>
      <c r="H49" s="234">
        <v>10</v>
      </c>
      <c r="K49" s="290">
        <v>44722</v>
      </c>
      <c r="L49" s="291">
        <v>60</v>
      </c>
      <c r="M49" s="292">
        <v>10.25</v>
      </c>
      <c r="O49" s="180">
        <v>44737</v>
      </c>
      <c r="P49" s="181">
        <v>243</v>
      </c>
      <c r="Q49" s="289">
        <v>5</v>
      </c>
      <c r="S49" s="180">
        <v>44769</v>
      </c>
      <c r="T49">
        <v>298</v>
      </c>
      <c r="U49" s="316">
        <v>29</v>
      </c>
      <c r="Y49" s="179">
        <v>44785</v>
      </c>
      <c r="Z49">
        <v>362</v>
      </c>
      <c r="AA49" s="316">
        <v>11.5</v>
      </c>
    </row>
    <row r="50" spans="1:28">
      <c r="A50" s="235">
        <v>44659</v>
      </c>
      <c r="B50" s="236">
        <v>1310</v>
      </c>
      <c r="C50" s="237">
        <v>12</v>
      </c>
      <c r="F50" s="233">
        <v>44694</v>
      </c>
      <c r="G50" s="263">
        <v>1439</v>
      </c>
      <c r="H50" s="234">
        <v>10</v>
      </c>
      <c r="K50" s="290">
        <v>44722</v>
      </c>
      <c r="L50" s="291">
        <v>61</v>
      </c>
      <c r="M50" s="292">
        <v>12</v>
      </c>
      <c r="O50" s="179">
        <v>44738</v>
      </c>
      <c r="P50">
        <v>244</v>
      </c>
      <c r="Q50" s="220">
        <v>29.75</v>
      </c>
      <c r="S50" s="180">
        <v>44769</v>
      </c>
      <c r="T50">
        <v>299</v>
      </c>
      <c r="U50" s="316">
        <v>15.75</v>
      </c>
      <c r="V50" s="28">
        <f>SUM(U49:U50)</f>
        <v>44.75</v>
      </c>
      <c r="Y50" s="179">
        <v>44785</v>
      </c>
      <c r="Z50">
        <v>363</v>
      </c>
      <c r="AA50" s="316">
        <v>10</v>
      </c>
    </row>
    <row r="51" spans="1:28">
      <c r="A51" s="235">
        <v>44659</v>
      </c>
      <c r="B51" s="236">
        <v>1311</v>
      </c>
      <c r="C51" s="237">
        <v>12</v>
      </c>
      <c r="F51" s="233">
        <v>44694</v>
      </c>
      <c r="G51" s="263">
        <v>1440</v>
      </c>
      <c r="H51" s="234">
        <v>14.5</v>
      </c>
      <c r="K51" s="290">
        <v>44722</v>
      </c>
      <c r="L51" s="291">
        <v>62</v>
      </c>
      <c r="M51" s="292">
        <v>10.5</v>
      </c>
      <c r="O51" s="179">
        <v>44738</v>
      </c>
      <c r="P51">
        <v>245</v>
      </c>
      <c r="Q51" s="220">
        <v>7.15</v>
      </c>
      <c r="S51" s="180">
        <v>44770</v>
      </c>
      <c r="T51">
        <v>300</v>
      </c>
      <c r="U51" s="316">
        <v>32.75</v>
      </c>
      <c r="Y51" s="179">
        <v>44785</v>
      </c>
      <c r="Z51">
        <v>364</v>
      </c>
      <c r="AA51" s="316">
        <v>9</v>
      </c>
    </row>
    <row r="52" spans="1:28">
      <c r="A52" s="235">
        <v>44659</v>
      </c>
      <c r="B52" s="236">
        <v>1312</v>
      </c>
      <c r="C52" s="237">
        <v>12</v>
      </c>
      <c r="F52" s="233">
        <v>44694</v>
      </c>
      <c r="G52" s="263">
        <v>1441</v>
      </c>
      <c r="H52" s="234">
        <v>12</v>
      </c>
      <c r="K52" s="290">
        <v>44722</v>
      </c>
      <c r="L52" s="291">
        <v>63</v>
      </c>
      <c r="M52" s="292">
        <v>12</v>
      </c>
      <c r="O52" s="179">
        <v>44739</v>
      </c>
      <c r="P52">
        <v>246</v>
      </c>
      <c r="Q52" s="220">
        <v>9</v>
      </c>
      <c r="S52" s="180">
        <v>44770</v>
      </c>
      <c r="T52">
        <v>301</v>
      </c>
      <c r="U52" s="316">
        <v>12</v>
      </c>
      <c r="V52" s="28">
        <f>SUM(U51:U52)</f>
        <v>44.75</v>
      </c>
      <c r="Y52" s="179">
        <v>44785</v>
      </c>
      <c r="Z52">
        <v>365</v>
      </c>
      <c r="AA52" s="316">
        <v>10.5</v>
      </c>
    </row>
    <row r="53" spans="1:28">
      <c r="A53" s="235">
        <v>44659</v>
      </c>
      <c r="B53" s="236">
        <v>1313</v>
      </c>
      <c r="C53" s="237">
        <v>10</v>
      </c>
      <c r="F53" s="233">
        <v>44694</v>
      </c>
      <c r="G53" s="263">
        <v>1442</v>
      </c>
      <c r="H53" s="234">
        <v>10.5</v>
      </c>
      <c r="K53" s="290">
        <v>44722</v>
      </c>
      <c r="L53" s="291">
        <v>64</v>
      </c>
      <c r="M53" s="292">
        <v>12</v>
      </c>
      <c r="O53" s="179">
        <v>44740</v>
      </c>
      <c r="P53">
        <v>247</v>
      </c>
      <c r="Q53" s="220">
        <v>21.25</v>
      </c>
      <c r="S53" s="180">
        <v>44771</v>
      </c>
      <c r="T53">
        <v>302</v>
      </c>
      <c r="U53" s="316">
        <v>24.25</v>
      </c>
      <c r="Y53" s="179">
        <v>44785</v>
      </c>
      <c r="Z53">
        <v>366</v>
      </c>
      <c r="AA53" s="316">
        <v>11.25</v>
      </c>
    </row>
    <row r="54" spans="1:28">
      <c r="A54" s="235">
        <v>44659</v>
      </c>
      <c r="B54" s="236">
        <v>1314</v>
      </c>
      <c r="C54" s="237">
        <v>12</v>
      </c>
      <c r="F54" s="233">
        <v>44694</v>
      </c>
      <c r="G54" s="263">
        <v>1443</v>
      </c>
      <c r="H54" s="234">
        <v>11.25</v>
      </c>
      <c r="K54" s="290">
        <v>44722</v>
      </c>
      <c r="L54" s="291">
        <v>65</v>
      </c>
      <c r="M54" s="292">
        <v>10</v>
      </c>
      <c r="O54" s="180">
        <v>44741</v>
      </c>
      <c r="P54" s="181">
        <v>248</v>
      </c>
      <c r="Q54" s="289">
        <v>24.65</v>
      </c>
      <c r="S54" s="180">
        <v>44771</v>
      </c>
      <c r="T54">
        <v>303</v>
      </c>
      <c r="U54" s="316">
        <v>9.75</v>
      </c>
      <c r="V54" s="28">
        <f>SUM(U53:U54)</f>
        <v>34</v>
      </c>
      <c r="Y54" s="179">
        <v>44785</v>
      </c>
      <c r="Z54">
        <v>367</v>
      </c>
      <c r="AA54" s="316">
        <v>11.75</v>
      </c>
    </row>
    <row r="55" spans="1:28">
      <c r="A55" s="235">
        <v>44659</v>
      </c>
      <c r="B55" s="236">
        <v>1315</v>
      </c>
      <c r="C55" s="237">
        <v>12</v>
      </c>
      <c r="F55" s="233">
        <v>44694</v>
      </c>
      <c r="G55" s="263">
        <v>1444</v>
      </c>
      <c r="H55" s="234">
        <v>12</v>
      </c>
      <c r="K55" s="290">
        <v>44722</v>
      </c>
      <c r="L55" s="291">
        <v>66</v>
      </c>
      <c r="M55" s="292">
        <v>12</v>
      </c>
      <c r="O55" s="180">
        <v>44741</v>
      </c>
      <c r="P55" s="181">
        <v>249</v>
      </c>
      <c r="Q55" s="289">
        <v>4.95</v>
      </c>
      <c r="S55" s="180">
        <v>44772</v>
      </c>
      <c r="T55">
        <v>304</v>
      </c>
      <c r="U55" s="316">
        <v>0</v>
      </c>
      <c r="V55" s="315" t="s">
        <v>443</v>
      </c>
      <c r="Y55" s="179">
        <v>44785</v>
      </c>
      <c r="Z55">
        <v>368</v>
      </c>
      <c r="AA55" s="316">
        <v>12.5</v>
      </c>
      <c r="AB55" s="28">
        <f>SUM(AA35:AA55)</f>
        <v>228.75</v>
      </c>
    </row>
    <row r="56" spans="1:28">
      <c r="A56" s="235">
        <v>44659</v>
      </c>
      <c r="B56" s="236">
        <v>1316</v>
      </c>
      <c r="C56" s="237">
        <v>12</v>
      </c>
      <c r="F56" s="233">
        <v>44694</v>
      </c>
      <c r="G56" s="263">
        <v>1445</v>
      </c>
      <c r="H56" s="234">
        <v>13</v>
      </c>
      <c r="K56" s="290">
        <v>44722</v>
      </c>
      <c r="L56" s="291">
        <v>67</v>
      </c>
      <c r="M56" s="292">
        <v>10.75</v>
      </c>
      <c r="O56" s="179">
        <v>44742</v>
      </c>
      <c r="P56">
        <v>250</v>
      </c>
      <c r="Q56" s="220">
        <v>2.1</v>
      </c>
      <c r="S56" s="180">
        <v>44772</v>
      </c>
      <c r="T56">
        <v>305</v>
      </c>
      <c r="U56" s="316">
        <v>48.5</v>
      </c>
      <c r="Y56" s="331">
        <v>44790</v>
      </c>
      <c r="Z56" s="250">
        <v>369</v>
      </c>
      <c r="AA56" s="251">
        <v>9.75</v>
      </c>
    </row>
    <row r="57" spans="1:28">
      <c r="A57" s="235">
        <v>44659</v>
      </c>
      <c r="B57" s="236">
        <v>1317</v>
      </c>
      <c r="C57" s="237">
        <v>11.5</v>
      </c>
      <c r="F57" s="233">
        <v>44694</v>
      </c>
      <c r="G57" s="263">
        <v>1446</v>
      </c>
      <c r="H57" s="234">
        <v>11.5</v>
      </c>
      <c r="K57" s="290">
        <v>44722</v>
      </c>
      <c r="L57" s="291">
        <v>68</v>
      </c>
      <c r="M57" s="292">
        <v>11</v>
      </c>
      <c r="O57" s="179"/>
      <c r="S57" s="180">
        <v>44772</v>
      </c>
      <c r="T57">
        <v>306</v>
      </c>
      <c r="U57" s="316">
        <v>11.85</v>
      </c>
      <c r="Y57" s="331">
        <v>44790</v>
      </c>
      <c r="Z57" s="250">
        <v>370</v>
      </c>
      <c r="AA57" s="332">
        <v>8</v>
      </c>
    </row>
    <row r="58" spans="1:28">
      <c r="A58" s="235">
        <v>44659</v>
      </c>
      <c r="B58" s="236">
        <v>1318</v>
      </c>
      <c r="C58" s="237">
        <v>11.5</v>
      </c>
      <c r="F58" s="233">
        <v>44694</v>
      </c>
      <c r="G58" s="263">
        <v>1447</v>
      </c>
      <c r="H58" s="234">
        <v>10</v>
      </c>
      <c r="K58" s="290">
        <v>44722</v>
      </c>
      <c r="L58" s="291">
        <v>69</v>
      </c>
      <c r="M58" s="292">
        <v>12</v>
      </c>
      <c r="S58" s="180">
        <v>44772</v>
      </c>
      <c r="T58">
        <v>307</v>
      </c>
      <c r="U58" s="316">
        <v>15.5</v>
      </c>
      <c r="Y58" s="331">
        <v>44790</v>
      </c>
      <c r="Z58" s="250">
        <v>371</v>
      </c>
      <c r="AA58" s="251">
        <v>12</v>
      </c>
    </row>
    <row r="59" spans="1:28">
      <c r="A59" s="235">
        <v>44659</v>
      </c>
      <c r="B59" s="236">
        <v>1319</v>
      </c>
      <c r="C59" s="237">
        <v>12</v>
      </c>
      <c r="F59" s="233">
        <v>44694</v>
      </c>
      <c r="G59" s="263">
        <v>1448</v>
      </c>
      <c r="H59" s="234">
        <v>9.5</v>
      </c>
      <c r="K59" s="290">
        <v>44722</v>
      </c>
      <c r="L59" s="291">
        <v>70</v>
      </c>
      <c r="M59" s="292">
        <v>10</v>
      </c>
      <c r="S59" s="180">
        <v>44772</v>
      </c>
      <c r="T59">
        <v>308</v>
      </c>
      <c r="U59" s="316">
        <v>2.8</v>
      </c>
      <c r="V59" s="28">
        <f>SUM(U55:U59)</f>
        <v>78.649999999999991</v>
      </c>
      <c r="Y59" s="331">
        <v>44790</v>
      </c>
      <c r="Z59" s="250">
        <v>372</v>
      </c>
      <c r="AA59" s="251">
        <v>12</v>
      </c>
    </row>
    <row r="60" spans="1:28">
      <c r="A60" s="235">
        <v>44659</v>
      </c>
      <c r="B60" s="236">
        <v>1320</v>
      </c>
      <c r="C60" s="237">
        <v>12</v>
      </c>
      <c r="F60" s="233">
        <v>44694</v>
      </c>
      <c r="G60" s="263">
        <v>1449</v>
      </c>
      <c r="H60" s="234">
        <v>12</v>
      </c>
      <c r="K60" s="290">
        <v>44722</v>
      </c>
      <c r="L60" s="291">
        <v>71</v>
      </c>
      <c r="M60" s="292">
        <v>11</v>
      </c>
      <c r="S60" s="180"/>
      <c r="U60" s="287">
        <f>SUM(U1:U59)</f>
        <v>930.6</v>
      </c>
      <c r="V60" s="287">
        <f>SUM(V1:V59)</f>
        <v>930.6</v>
      </c>
      <c r="Y60" s="331">
        <v>44790</v>
      </c>
      <c r="Z60" s="250">
        <v>373</v>
      </c>
      <c r="AA60" s="251">
        <v>11</v>
      </c>
    </row>
    <row r="61" spans="1:28">
      <c r="A61" s="235">
        <v>44659</v>
      </c>
      <c r="B61" s="236">
        <v>1321</v>
      </c>
      <c r="C61" s="237">
        <v>10</v>
      </c>
      <c r="F61" s="233">
        <v>44694</v>
      </c>
      <c r="G61" s="263">
        <v>1450</v>
      </c>
      <c r="H61" s="234">
        <v>12</v>
      </c>
      <c r="K61" s="290">
        <v>44722</v>
      </c>
      <c r="L61" s="291">
        <v>72</v>
      </c>
      <c r="M61" s="292">
        <v>12</v>
      </c>
      <c r="Y61" s="331">
        <v>44790</v>
      </c>
      <c r="Z61" s="250">
        <v>374</v>
      </c>
      <c r="AA61" s="251">
        <v>13.25</v>
      </c>
    </row>
    <row r="62" spans="1:28">
      <c r="A62" s="235">
        <v>44659</v>
      </c>
      <c r="B62" s="236">
        <v>1322</v>
      </c>
      <c r="C62" s="237">
        <v>12</v>
      </c>
      <c r="D62" s="189">
        <f>SUM(C40:C62)</f>
        <v>251.5</v>
      </c>
      <c r="F62" s="233">
        <v>44694</v>
      </c>
      <c r="G62" s="263">
        <v>1451</v>
      </c>
      <c r="H62" s="234">
        <v>10</v>
      </c>
      <c r="K62" s="290">
        <v>44722</v>
      </c>
      <c r="L62" s="291">
        <v>73</v>
      </c>
      <c r="M62" s="292">
        <v>10</v>
      </c>
      <c r="Y62" s="331">
        <v>44790</v>
      </c>
      <c r="Z62" s="250">
        <v>375</v>
      </c>
      <c r="AA62" s="251">
        <v>11</v>
      </c>
    </row>
    <row r="63" spans="1:28">
      <c r="A63" s="195">
        <v>44664</v>
      </c>
      <c r="B63" s="196">
        <v>1323</v>
      </c>
      <c r="C63" s="197">
        <v>12</v>
      </c>
      <c r="F63" s="233">
        <v>44694</v>
      </c>
      <c r="G63" s="263">
        <v>1452</v>
      </c>
      <c r="H63" s="234">
        <v>12</v>
      </c>
      <c r="K63" s="290">
        <v>44722</v>
      </c>
      <c r="L63" s="291">
        <v>74</v>
      </c>
      <c r="M63" s="292">
        <v>12</v>
      </c>
      <c r="Y63" s="331">
        <v>44790</v>
      </c>
      <c r="Z63" s="250">
        <v>376</v>
      </c>
      <c r="AA63" s="251">
        <v>10.75</v>
      </c>
    </row>
    <row r="64" spans="1:28">
      <c r="A64" s="195">
        <v>44664</v>
      </c>
      <c r="B64" s="196">
        <v>1324</v>
      </c>
      <c r="C64" s="197">
        <v>10</v>
      </c>
      <c r="F64" s="233">
        <v>44694</v>
      </c>
      <c r="G64" s="263">
        <v>1453</v>
      </c>
      <c r="H64" s="234">
        <v>10</v>
      </c>
      <c r="I64" s="28">
        <f>SUM(H48:H64)</f>
        <v>194</v>
      </c>
      <c r="J64" s="28"/>
      <c r="K64" s="290">
        <v>44722</v>
      </c>
      <c r="L64" s="291">
        <v>75</v>
      </c>
      <c r="M64" s="292">
        <v>10</v>
      </c>
      <c r="S64" s="318">
        <v>44743</v>
      </c>
      <c r="T64" s="187">
        <v>148</v>
      </c>
      <c r="U64" s="224">
        <v>12.75</v>
      </c>
      <c r="Y64" s="331">
        <v>44790</v>
      </c>
      <c r="Z64" s="250">
        <v>377</v>
      </c>
      <c r="AA64" s="251">
        <v>9.25</v>
      </c>
    </row>
    <row r="65" spans="1:28">
      <c r="A65" s="195">
        <v>44664</v>
      </c>
      <c r="B65" s="196">
        <v>1325</v>
      </c>
      <c r="C65" s="197">
        <v>12</v>
      </c>
      <c r="F65" s="195">
        <v>44699</v>
      </c>
      <c r="G65" s="196">
        <v>1454</v>
      </c>
      <c r="H65" s="197">
        <v>12</v>
      </c>
      <c r="K65" s="290">
        <v>44722</v>
      </c>
      <c r="L65" s="291">
        <v>76</v>
      </c>
      <c r="M65" s="292">
        <v>10</v>
      </c>
      <c r="S65" s="318">
        <v>44743</v>
      </c>
      <c r="T65" s="187">
        <v>149</v>
      </c>
      <c r="U65" s="224">
        <v>12</v>
      </c>
      <c r="Y65" s="331">
        <v>44790</v>
      </c>
      <c r="Z65" s="250">
        <v>378</v>
      </c>
      <c r="AA65" s="251">
        <v>9.75</v>
      </c>
    </row>
    <row r="66" spans="1:28">
      <c r="A66" s="195">
        <v>44664</v>
      </c>
      <c r="B66" s="196">
        <v>1326</v>
      </c>
      <c r="C66" s="197">
        <v>10</v>
      </c>
      <c r="F66" s="195">
        <v>44699</v>
      </c>
      <c r="G66" s="196">
        <v>1455</v>
      </c>
      <c r="H66" s="197">
        <v>12</v>
      </c>
      <c r="K66" s="290">
        <v>44722</v>
      </c>
      <c r="L66" s="291">
        <v>77</v>
      </c>
      <c r="M66" s="292">
        <v>15.5</v>
      </c>
      <c r="S66" s="318">
        <v>44743</v>
      </c>
      <c r="T66" s="187">
        <v>150</v>
      </c>
      <c r="U66" s="224">
        <v>12</v>
      </c>
      <c r="Y66" s="331">
        <v>44790</v>
      </c>
      <c r="Z66" s="250">
        <v>379</v>
      </c>
      <c r="AA66" s="251">
        <v>10</v>
      </c>
    </row>
    <row r="67" spans="1:28">
      <c r="A67" s="195">
        <v>44664</v>
      </c>
      <c r="B67" s="196">
        <v>1327</v>
      </c>
      <c r="C67" s="197">
        <v>9.5</v>
      </c>
      <c r="F67" s="195">
        <v>44699</v>
      </c>
      <c r="G67" s="196">
        <v>1456</v>
      </c>
      <c r="H67" s="197">
        <v>12</v>
      </c>
      <c r="K67" s="180">
        <v>44727</v>
      </c>
      <c r="L67" s="288">
        <v>78</v>
      </c>
      <c r="M67" s="289">
        <v>12</v>
      </c>
      <c r="S67" s="318">
        <v>44743</v>
      </c>
      <c r="T67" s="187">
        <v>151</v>
      </c>
      <c r="U67" s="224">
        <v>7.5</v>
      </c>
      <c r="Y67" s="331">
        <v>44790</v>
      </c>
      <c r="Z67" s="250">
        <v>380</v>
      </c>
      <c r="AA67" s="251">
        <v>10</v>
      </c>
    </row>
    <row r="68" spans="1:28">
      <c r="A68" s="195">
        <v>44664</v>
      </c>
      <c r="B68" s="196">
        <v>1328</v>
      </c>
      <c r="C68" s="197">
        <v>12</v>
      </c>
      <c r="F68" s="195">
        <v>44699</v>
      </c>
      <c r="G68" s="196">
        <v>1457</v>
      </c>
      <c r="H68" s="197">
        <v>10</v>
      </c>
      <c r="K68" s="180">
        <v>44727</v>
      </c>
      <c r="L68" s="288">
        <v>79</v>
      </c>
      <c r="M68" s="289">
        <v>10</v>
      </c>
      <c r="S68" s="318">
        <v>44743</v>
      </c>
      <c r="T68" s="187">
        <v>152</v>
      </c>
      <c r="U68" s="224">
        <v>10.25</v>
      </c>
      <c r="Y68" s="331">
        <v>44790</v>
      </c>
      <c r="Z68" s="250">
        <v>381</v>
      </c>
      <c r="AA68" s="251">
        <v>12</v>
      </c>
    </row>
    <row r="69" spans="1:28">
      <c r="A69" s="195">
        <v>44664</v>
      </c>
      <c r="B69" s="196">
        <v>1329</v>
      </c>
      <c r="C69" s="197">
        <v>11.25</v>
      </c>
      <c r="F69" s="195">
        <v>44699</v>
      </c>
      <c r="G69" s="196">
        <v>1458</v>
      </c>
      <c r="H69" s="197">
        <v>11</v>
      </c>
      <c r="K69" s="180">
        <v>44727</v>
      </c>
      <c r="L69" s="288">
        <v>80</v>
      </c>
      <c r="M69" s="289">
        <v>13.5</v>
      </c>
      <c r="S69" s="318">
        <v>44743</v>
      </c>
      <c r="T69" s="187">
        <v>153</v>
      </c>
      <c r="U69" s="224">
        <v>12.5</v>
      </c>
      <c r="Y69" s="331">
        <v>44790</v>
      </c>
      <c r="Z69" s="250">
        <v>382</v>
      </c>
      <c r="AA69" s="251">
        <v>6.5</v>
      </c>
    </row>
    <row r="70" spans="1:28">
      <c r="A70" s="195">
        <v>44664</v>
      </c>
      <c r="B70" s="196">
        <v>1330</v>
      </c>
      <c r="C70" s="197">
        <v>10</v>
      </c>
      <c r="F70" s="195">
        <v>44699</v>
      </c>
      <c r="G70" s="196">
        <v>1459</v>
      </c>
      <c r="H70" s="197">
        <v>10.5</v>
      </c>
      <c r="K70" s="180">
        <v>44727</v>
      </c>
      <c r="L70" s="288">
        <v>81</v>
      </c>
      <c r="M70" s="289">
        <v>14</v>
      </c>
      <c r="S70" s="318">
        <v>44743</v>
      </c>
      <c r="T70" s="187">
        <v>154</v>
      </c>
      <c r="U70" s="224">
        <v>11.25</v>
      </c>
      <c r="Y70" s="331">
        <v>44790</v>
      </c>
      <c r="Z70" s="250">
        <v>383</v>
      </c>
      <c r="AA70" s="251">
        <v>12</v>
      </c>
    </row>
    <row r="71" spans="1:28">
      <c r="A71" s="195">
        <v>44664</v>
      </c>
      <c r="B71" s="196">
        <v>1331</v>
      </c>
      <c r="C71" s="197">
        <v>12</v>
      </c>
      <c r="F71" s="195">
        <v>44699</v>
      </c>
      <c r="G71" s="196">
        <v>1460</v>
      </c>
      <c r="H71" s="197">
        <v>13</v>
      </c>
      <c r="K71" s="180">
        <v>44727</v>
      </c>
      <c r="L71" s="288">
        <v>82</v>
      </c>
      <c r="M71" s="289">
        <v>12.5</v>
      </c>
      <c r="S71" s="318">
        <v>44743</v>
      </c>
      <c r="T71" s="187">
        <v>155</v>
      </c>
      <c r="U71" s="224">
        <v>11.75</v>
      </c>
      <c r="Y71" s="331">
        <v>44790</v>
      </c>
      <c r="Z71" s="250">
        <v>384</v>
      </c>
      <c r="AA71" s="251">
        <v>13</v>
      </c>
    </row>
    <row r="72" spans="1:28">
      <c r="A72" s="195">
        <v>44664</v>
      </c>
      <c r="B72" s="196">
        <v>1332</v>
      </c>
      <c r="C72" s="197">
        <v>13</v>
      </c>
      <c r="F72" s="195">
        <v>44699</v>
      </c>
      <c r="G72" s="196">
        <v>1461</v>
      </c>
      <c r="H72" s="197">
        <v>10.25</v>
      </c>
      <c r="K72" s="180">
        <v>44727</v>
      </c>
      <c r="L72" s="288">
        <v>83</v>
      </c>
      <c r="M72" s="289">
        <v>12.5</v>
      </c>
      <c r="S72" s="318">
        <v>44743</v>
      </c>
      <c r="T72" s="187">
        <v>156</v>
      </c>
      <c r="U72" s="224">
        <v>9.25</v>
      </c>
      <c r="Y72" s="331">
        <v>44790</v>
      </c>
      <c r="Z72" s="250">
        <v>385</v>
      </c>
      <c r="AA72" s="251">
        <v>12</v>
      </c>
    </row>
    <row r="73" spans="1:28">
      <c r="A73" s="195">
        <v>44664</v>
      </c>
      <c r="B73" s="196">
        <v>1333</v>
      </c>
      <c r="C73" s="197">
        <v>11.5</v>
      </c>
      <c r="F73" s="195">
        <v>44699</v>
      </c>
      <c r="G73" s="196">
        <v>1462</v>
      </c>
      <c r="H73" s="197">
        <v>10</v>
      </c>
      <c r="K73" s="180">
        <v>44727</v>
      </c>
      <c r="L73" s="288">
        <v>84</v>
      </c>
      <c r="M73" s="289">
        <v>12.75</v>
      </c>
      <c r="S73" s="318">
        <v>44743</v>
      </c>
      <c r="T73" s="187">
        <v>157</v>
      </c>
      <c r="U73" s="224">
        <v>12</v>
      </c>
      <c r="Y73" s="331">
        <v>44790</v>
      </c>
      <c r="Z73" s="250">
        <v>386</v>
      </c>
      <c r="AA73" s="251">
        <v>13.25</v>
      </c>
    </row>
    <row r="74" spans="1:28">
      <c r="A74" s="195">
        <v>44664</v>
      </c>
      <c r="B74" s="196">
        <v>1334</v>
      </c>
      <c r="C74" s="197">
        <v>12</v>
      </c>
      <c r="F74" s="195">
        <v>44699</v>
      </c>
      <c r="G74" s="196">
        <v>1463</v>
      </c>
      <c r="H74" s="197">
        <v>10</v>
      </c>
      <c r="K74" s="180">
        <v>44727</v>
      </c>
      <c r="L74" s="288">
        <v>85</v>
      </c>
      <c r="M74" s="289">
        <v>12</v>
      </c>
      <c r="S74" s="318">
        <v>44743</v>
      </c>
      <c r="T74" s="187">
        <v>158</v>
      </c>
      <c r="U74" s="224">
        <v>10</v>
      </c>
      <c r="Y74" s="331">
        <v>44790</v>
      </c>
      <c r="Z74" s="250">
        <v>387</v>
      </c>
      <c r="AA74" s="251">
        <v>10.5</v>
      </c>
    </row>
    <row r="75" spans="1:28">
      <c r="A75" s="195">
        <v>44664</v>
      </c>
      <c r="B75" s="196">
        <v>1335</v>
      </c>
      <c r="C75" s="197">
        <v>10</v>
      </c>
      <c r="F75" s="195">
        <v>44699</v>
      </c>
      <c r="G75" s="196">
        <v>1464</v>
      </c>
      <c r="H75" s="197">
        <v>11</v>
      </c>
      <c r="K75" s="180">
        <v>44727</v>
      </c>
      <c r="L75" s="288">
        <v>86</v>
      </c>
      <c r="M75" s="289">
        <v>10</v>
      </c>
      <c r="S75" s="318">
        <v>44743</v>
      </c>
      <c r="T75" s="187">
        <v>159</v>
      </c>
      <c r="U75" s="224">
        <v>11.75</v>
      </c>
      <c r="Y75" s="331">
        <v>44790</v>
      </c>
      <c r="Z75" s="250">
        <v>388</v>
      </c>
      <c r="AA75" s="251">
        <v>10</v>
      </c>
    </row>
    <row r="76" spans="1:28">
      <c r="A76" s="195">
        <v>44664</v>
      </c>
      <c r="B76" s="196">
        <v>1336</v>
      </c>
      <c r="C76" s="197">
        <v>12</v>
      </c>
      <c r="F76" s="195">
        <v>44699</v>
      </c>
      <c r="G76" s="196">
        <v>1465</v>
      </c>
      <c r="H76" s="197">
        <v>11</v>
      </c>
      <c r="I76" s="28">
        <f>SUM(H65:H76)</f>
        <v>132.75</v>
      </c>
      <c r="J76" s="28"/>
      <c r="K76" s="180">
        <v>44727</v>
      </c>
      <c r="L76" s="288">
        <v>87</v>
      </c>
      <c r="M76" s="289">
        <v>11</v>
      </c>
      <c r="S76" s="318">
        <v>44743</v>
      </c>
      <c r="T76" s="187">
        <v>160</v>
      </c>
      <c r="U76" s="224">
        <v>10.25</v>
      </c>
      <c r="Y76" s="331">
        <v>44790</v>
      </c>
      <c r="Z76" s="250">
        <v>389</v>
      </c>
      <c r="AA76" s="251">
        <v>12.5</v>
      </c>
    </row>
    <row r="77" spans="1:28">
      <c r="A77" s="195">
        <v>44664</v>
      </c>
      <c r="B77" s="196">
        <v>1337</v>
      </c>
      <c r="C77" s="197">
        <v>12</v>
      </c>
      <c r="F77" s="184">
        <v>44701</v>
      </c>
      <c r="G77" s="185">
        <v>1466</v>
      </c>
      <c r="H77" s="220">
        <v>11.5</v>
      </c>
      <c r="K77" s="180">
        <v>44727</v>
      </c>
      <c r="L77" s="288">
        <v>88</v>
      </c>
      <c r="M77" s="289">
        <v>12</v>
      </c>
      <c r="S77" s="318">
        <v>44743</v>
      </c>
      <c r="T77" s="187">
        <v>161</v>
      </c>
      <c r="U77" s="224">
        <v>10</v>
      </c>
      <c r="Y77" s="331">
        <v>44790</v>
      </c>
      <c r="Z77" s="250">
        <v>390</v>
      </c>
      <c r="AA77" s="251">
        <v>10</v>
      </c>
    </row>
    <row r="78" spans="1:28">
      <c r="A78" s="195">
        <v>44664</v>
      </c>
      <c r="B78" s="196">
        <v>1338</v>
      </c>
      <c r="C78" s="197">
        <v>11</v>
      </c>
      <c r="F78" s="184">
        <v>44701</v>
      </c>
      <c r="G78" s="185">
        <v>1467</v>
      </c>
      <c r="H78" s="220">
        <v>10.25</v>
      </c>
      <c r="K78" s="180">
        <v>44727</v>
      </c>
      <c r="L78" s="288">
        <v>89</v>
      </c>
      <c r="M78" s="289">
        <v>12</v>
      </c>
      <c r="S78" s="318">
        <v>44743</v>
      </c>
      <c r="T78" s="187">
        <v>162</v>
      </c>
      <c r="U78" s="224">
        <v>10.75</v>
      </c>
      <c r="Y78" s="331">
        <v>44790</v>
      </c>
      <c r="Z78" s="250">
        <v>391</v>
      </c>
      <c r="AA78" s="251">
        <v>10.5</v>
      </c>
      <c r="AB78" s="28">
        <f>SUM(AA56:AA78)</f>
        <v>249</v>
      </c>
    </row>
    <row r="79" spans="1:28">
      <c r="A79" s="195">
        <v>44664</v>
      </c>
      <c r="B79" s="196">
        <v>1339</v>
      </c>
      <c r="C79" s="197">
        <v>10.25</v>
      </c>
      <c r="D79" s="189">
        <f>SUM(C63:C79)</f>
        <v>190.5</v>
      </c>
      <c r="F79" s="184">
        <v>44701</v>
      </c>
      <c r="G79" s="185">
        <v>1468</v>
      </c>
      <c r="H79" s="220">
        <v>12</v>
      </c>
      <c r="K79" s="180">
        <v>44727</v>
      </c>
      <c r="L79" s="288">
        <v>90</v>
      </c>
      <c r="M79" s="289">
        <v>12</v>
      </c>
      <c r="S79" s="318">
        <v>44743</v>
      </c>
      <c r="T79" s="187">
        <v>163</v>
      </c>
      <c r="U79" s="224">
        <v>11</v>
      </c>
      <c r="Y79" s="195">
        <v>44792</v>
      </c>
      <c r="Z79" s="196">
        <v>392</v>
      </c>
      <c r="AA79" s="241">
        <v>10</v>
      </c>
    </row>
    <row r="80" spans="1:28">
      <c r="A80" s="184">
        <v>44671</v>
      </c>
      <c r="B80" s="185">
        <v>1340</v>
      </c>
      <c r="C80" s="220">
        <v>10.5</v>
      </c>
      <c r="F80" s="184">
        <v>44701</v>
      </c>
      <c r="G80" s="185">
        <v>1469</v>
      </c>
      <c r="H80" s="220">
        <v>12</v>
      </c>
      <c r="K80" s="276">
        <v>44729</v>
      </c>
      <c r="L80" s="277">
        <v>91</v>
      </c>
      <c r="M80" s="278">
        <v>9.25</v>
      </c>
      <c r="S80" s="318">
        <v>44743</v>
      </c>
      <c r="T80" s="187">
        <v>164</v>
      </c>
      <c r="U80" s="224">
        <v>10.75</v>
      </c>
      <c r="Y80" s="195">
        <v>44792</v>
      </c>
      <c r="Z80" s="196">
        <v>393</v>
      </c>
      <c r="AA80" s="241">
        <v>10</v>
      </c>
    </row>
    <row r="81" spans="1:27">
      <c r="A81" s="184">
        <v>44671</v>
      </c>
      <c r="B81" s="185">
        <v>1341</v>
      </c>
      <c r="C81" s="220">
        <v>10</v>
      </c>
      <c r="F81" s="184">
        <v>44701</v>
      </c>
      <c r="G81" s="185">
        <v>1470</v>
      </c>
      <c r="H81" s="220">
        <v>11</v>
      </c>
      <c r="K81" s="276">
        <v>44729</v>
      </c>
      <c r="L81" s="277">
        <v>92</v>
      </c>
      <c r="M81" s="278">
        <v>10</v>
      </c>
      <c r="S81" s="318">
        <v>44743</v>
      </c>
      <c r="T81" s="187">
        <v>165</v>
      </c>
      <c r="U81" s="224">
        <v>10.75</v>
      </c>
      <c r="Y81" s="195">
        <v>44792</v>
      </c>
      <c r="Z81" s="196">
        <v>394</v>
      </c>
      <c r="AA81" s="241">
        <v>10</v>
      </c>
    </row>
    <row r="82" spans="1:27">
      <c r="A82" s="184">
        <v>44671</v>
      </c>
      <c r="B82" s="185">
        <v>1342</v>
      </c>
      <c r="C82" s="220">
        <v>12</v>
      </c>
      <c r="F82" s="184">
        <v>44701</v>
      </c>
      <c r="G82" s="185">
        <v>1471</v>
      </c>
      <c r="H82" s="220">
        <v>10.75</v>
      </c>
      <c r="K82" s="276">
        <v>44729</v>
      </c>
      <c r="L82" s="277">
        <v>93</v>
      </c>
      <c r="M82" s="278">
        <v>10</v>
      </c>
      <c r="S82" s="318">
        <v>44743</v>
      </c>
      <c r="T82" s="187">
        <v>166</v>
      </c>
      <c r="U82" s="224">
        <v>11</v>
      </c>
      <c r="V82" s="28">
        <f>SUM(U64:U82)</f>
        <v>207.5</v>
      </c>
      <c r="Y82" s="195">
        <v>44792</v>
      </c>
      <c r="Z82" s="196">
        <v>395</v>
      </c>
      <c r="AA82" s="241">
        <v>10</v>
      </c>
    </row>
    <row r="83" spans="1:27">
      <c r="A83" s="184">
        <v>44671</v>
      </c>
      <c r="B83" s="185">
        <v>1343</v>
      </c>
      <c r="C83" s="220">
        <v>11.5</v>
      </c>
      <c r="F83" s="184">
        <v>44701</v>
      </c>
      <c r="G83" s="185">
        <v>1472</v>
      </c>
      <c r="H83" s="220">
        <v>11</v>
      </c>
      <c r="K83" s="276">
        <v>44729</v>
      </c>
      <c r="L83" s="277">
        <v>94</v>
      </c>
      <c r="M83" s="278">
        <v>11</v>
      </c>
      <c r="S83" s="319">
        <v>44748</v>
      </c>
      <c r="T83" s="193">
        <v>167</v>
      </c>
      <c r="U83" s="194">
        <v>10.5</v>
      </c>
      <c r="Y83" s="195">
        <v>44792</v>
      </c>
      <c r="Z83" s="196">
        <v>396</v>
      </c>
      <c r="AA83" s="241">
        <v>10</v>
      </c>
    </row>
    <row r="84" spans="1:27">
      <c r="A84" s="184">
        <v>44671</v>
      </c>
      <c r="B84" s="185">
        <v>1344</v>
      </c>
      <c r="C84" s="220">
        <v>10</v>
      </c>
      <c r="F84" s="184">
        <v>44701</v>
      </c>
      <c r="G84" s="185">
        <v>1473</v>
      </c>
      <c r="H84" s="220">
        <v>12</v>
      </c>
      <c r="K84" s="276">
        <v>44729</v>
      </c>
      <c r="L84" s="277">
        <v>95</v>
      </c>
      <c r="M84" s="278">
        <v>11</v>
      </c>
      <c r="S84" s="319">
        <v>44748</v>
      </c>
      <c r="T84" s="193">
        <v>168</v>
      </c>
      <c r="U84" s="194">
        <v>11.75</v>
      </c>
      <c r="Y84" s="195">
        <v>44792</v>
      </c>
      <c r="Z84" s="196">
        <v>397</v>
      </c>
      <c r="AA84" s="241">
        <v>10</v>
      </c>
    </row>
    <row r="85" spans="1:27">
      <c r="A85" s="184">
        <v>44671</v>
      </c>
      <c r="B85" s="185">
        <v>1345</v>
      </c>
      <c r="C85" s="220">
        <v>10.75</v>
      </c>
      <c r="F85" s="184">
        <v>44701</v>
      </c>
      <c r="G85" s="185">
        <v>1474</v>
      </c>
      <c r="H85" s="220">
        <v>14.25</v>
      </c>
      <c r="K85" s="276">
        <v>44729</v>
      </c>
      <c r="L85" s="277">
        <v>96</v>
      </c>
      <c r="M85" s="278">
        <v>14.25</v>
      </c>
      <c r="S85" s="319">
        <v>44748</v>
      </c>
      <c r="T85" s="193">
        <v>169</v>
      </c>
      <c r="U85" s="194">
        <v>11</v>
      </c>
      <c r="Y85" s="195">
        <v>44792</v>
      </c>
      <c r="Z85" s="196">
        <v>398</v>
      </c>
      <c r="AA85" s="197">
        <v>8.75</v>
      </c>
    </row>
    <row r="86" spans="1:27">
      <c r="A86" s="184">
        <v>44671</v>
      </c>
      <c r="B86" s="185">
        <v>1346</v>
      </c>
      <c r="C86" s="220">
        <v>9.25</v>
      </c>
      <c r="F86" s="184">
        <v>44701</v>
      </c>
      <c r="G86" s="185">
        <v>1475</v>
      </c>
      <c r="H86" s="220">
        <v>10</v>
      </c>
      <c r="K86" s="276">
        <v>44729</v>
      </c>
      <c r="L86" s="277">
        <v>97</v>
      </c>
      <c r="M86" s="278">
        <v>14.25</v>
      </c>
      <c r="S86" s="319">
        <v>44748</v>
      </c>
      <c r="T86" s="193">
        <v>170</v>
      </c>
      <c r="U86" s="194">
        <v>10</v>
      </c>
      <c r="Y86" s="195">
        <v>44792</v>
      </c>
      <c r="Z86" s="196">
        <v>399</v>
      </c>
      <c r="AA86" s="197">
        <v>9</v>
      </c>
    </row>
    <row r="87" spans="1:27">
      <c r="A87" s="184">
        <v>44671</v>
      </c>
      <c r="B87" s="185">
        <v>1347</v>
      </c>
      <c r="C87" s="220">
        <v>10.5</v>
      </c>
      <c r="F87" s="184">
        <v>44701</v>
      </c>
      <c r="G87" s="185">
        <v>1476</v>
      </c>
      <c r="H87" s="220">
        <v>11.25</v>
      </c>
      <c r="K87" s="276">
        <v>44729</v>
      </c>
      <c r="L87" s="277">
        <v>98</v>
      </c>
      <c r="M87" s="278">
        <v>10.5</v>
      </c>
      <c r="S87" s="319">
        <v>44748</v>
      </c>
      <c r="T87" s="193">
        <v>171</v>
      </c>
      <c r="U87" s="194">
        <v>11</v>
      </c>
      <c r="Y87" s="195">
        <v>44792</v>
      </c>
      <c r="Z87" s="196">
        <v>400</v>
      </c>
      <c r="AA87" s="197">
        <v>10.75</v>
      </c>
    </row>
    <row r="88" spans="1:27">
      <c r="A88" s="184">
        <v>44671</v>
      </c>
      <c r="B88" s="185">
        <v>1348</v>
      </c>
      <c r="C88" s="220">
        <v>12.5</v>
      </c>
      <c r="F88" s="184">
        <v>44701</v>
      </c>
      <c r="G88" s="185">
        <v>1477</v>
      </c>
      <c r="H88" s="220">
        <v>11</v>
      </c>
      <c r="K88" s="276">
        <v>44729</v>
      </c>
      <c r="L88" s="277">
        <v>99</v>
      </c>
      <c r="M88" s="278">
        <v>12</v>
      </c>
      <c r="S88" s="319">
        <v>44748</v>
      </c>
      <c r="T88" s="193">
        <v>172</v>
      </c>
      <c r="U88" s="194">
        <v>12</v>
      </c>
      <c r="Y88" s="195">
        <v>44792</v>
      </c>
      <c r="Z88" s="196">
        <v>401</v>
      </c>
      <c r="AA88" s="197">
        <v>12</v>
      </c>
    </row>
    <row r="89" spans="1:27">
      <c r="A89" s="184">
        <v>44671</v>
      </c>
      <c r="B89" s="185">
        <v>1349</v>
      </c>
      <c r="C89" s="220">
        <v>12</v>
      </c>
      <c r="F89" s="184">
        <v>44701</v>
      </c>
      <c r="G89" s="185">
        <v>1478</v>
      </c>
      <c r="H89" s="220">
        <v>11</v>
      </c>
      <c r="K89" s="276">
        <v>44729</v>
      </c>
      <c r="L89" s="277">
        <v>100</v>
      </c>
      <c r="M89" s="278">
        <v>12</v>
      </c>
      <c r="S89" s="319">
        <v>44748</v>
      </c>
      <c r="T89" s="193">
        <v>173</v>
      </c>
      <c r="U89" s="194">
        <v>10.5</v>
      </c>
      <c r="Y89" s="195">
        <v>44792</v>
      </c>
      <c r="Z89" s="196">
        <v>402</v>
      </c>
      <c r="AA89" s="197">
        <v>12</v>
      </c>
    </row>
    <row r="90" spans="1:27">
      <c r="A90" s="184">
        <v>44671</v>
      </c>
      <c r="B90" s="185">
        <v>1350</v>
      </c>
      <c r="C90" s="220">
        <v>11.5</v>
      </c>
      <c r="F90" s="184">
        <v>44701</v>
      </c>
      <c r="G90" s="185">
        <v>1479</v>
      </c>
      <c r="H90" s="220">
        <v>12</v>
      </c>
      <c r="K90" s="276">
        <v>44729</v>
      </c>
      <c r="L90" s="277">
        <v>101</v>
      </c>
      <c r="M90" s="278">
        <v>10</v>
      </c>
      <c r="S90" s="319">
        <v>44748</v>
      </c>
      <c r="T90" s="193">
        <v>174</v>
      </c>
      <c r="U90" s="194">
        <v>10.5</v>
      </c>
      <c r="Y90" s="195">
        <v>44792</v>
      </c>
      <c r="Z90" s="196">
        <v>403</v>
      </c>
      <c r="AA90" s="197">
        <v>12</v>
      </c>
    </row>
    <row r="91" spans="1:27">
      <c r="A91" s="184">
        <v>44671</v>
      </c>
      <c r="B91" s="185">
        <v>1351</v>
      </c>
      <c r="C91" s="220">
        <v>12</v>
      </c>
      <c r="F91" s="184">
        <v>44701</v>
      </c>
      <c r="G91" s="185">
        <v>1480</v>
      </c>
      <c r="H91" s="220">
        <v>12</v>
      </c>
      <c r="K91" s="276">
        <v>44729</v>
      </c>
      <c r="L91" s="277">
        <v>102</v>
      </c>
      <c r="M91" s="278">
        <v>13.25</v>
      </c>
      <c r="S91" s="319">
        <v>44748</v>
      </c>
      <c r="T91" s="193">
        <v>175</v>
      </c>
      <c r="U91" s="194">
        <v>10</v>
      </c>
      <c r="Y91" s="195">
        <v>44792</v>
      </c>
      <c r="Z91" s="196">
        <v>404</v>
      </c>
      <c r="AA91" s="197">
        <v>9</v>
      </c>
    </row>
    <row r="92" spans="1:27">
      <c r="A92" s="184">
        <v>44671</v>
      </c>
      <c r="B92" s="185">
        <v>1352</v>
      </c>
      <c r="C92" s="220">
        <v>12</v>
      </c>
      <c r="D92" s="28">
        <f>SUM(C80:C92)</f>
        <v>144.5</v>
      </c>
      <c r="F92" s="184">
        <v>44701</v>
      </c>
      <c r="G92" s="185">
        <v>1481</v>
      </c>
      <c r="H92" s="220">
        <v>12</v>
      </c>
      <c r="K92" s="290">
        <v>44734</v>
      </c>
      <c r="L92" s="291">
        <v>103</v>
      </c>
      <c r="M92" s="292">
        <v>9.25</v>
      </c>
      <c r="S92" s="319">
        <v>44748</v>
      </c>
      <c r="T92" s="193">
        <v>176</v>
      </c>
      <c r="U92" s="194">
        <v>12</v>
      </c>
      <c r="Y92" s="195">
        <v>44792</v>
      </c>
      <c r="Z92" s="196">
        <v>405</v>
      </c>
      <c r="AA92" s="197">
        <v>9</v>
      </c>
    </row>
    <row r="93" spans="1:27">
      <c r="A93" s="244">
        <v>44673</v>
      </c>
      <c r="B93" s="245">
        <v>1353</v>
      </c>
      <c r="C93" s="246">
        <v>10.5</v>
      </c>
      <c r="F93" s="184">
        <v>44701</v>
      </c>
      <c r="G93" s="185">
        <v>1482</v>
      </c>
      <c r="H93" s="220">
        <v>11</v>
      </c>
      <c r="I93" s="28">
        <f>SUM(H77:H93)</f>
        <v>195</v>
      </c>
      <c r="J93" s="28"/>
      <c r="K93" s="290">
        <v>44734</v>
      </c>
      <c r="L93" s="291">
        <v>104</v>
      </c>
      <c r="M93" s="292">
        <v>9</v>
      </c>
      <c r="S93" s="319">
        <v>44748</v>
      </c>
      <c r="T93" s="193">
        <v>177</v>
      </c>
      <c r="U93" s="194">
        <v>13</v>
      </c>
      <c r="Y93" s="195">
        <v>44792</v>
      </c>
      <c r="Z93" s="196">
        <v>406</v>
      </c>
      <c r="AA93" s="197">
        <v>12</v>
      </c>
    </row>
    <row r="94" spans="1:27">
      <c r="A94" s="244">
        <v>44673</v>
      </c>
      <c r="B94" s="245">
        <v>1354</v>
      </c>
      <c r="C94" s="246">
        <v>12</v>
      </c>
      <c r="F94" s="235">
        <v>44706</v>
      </c>
      <c r="G94" s="236">
        <v>1483</v>
      </c>
      <c r="H94" s="237">
        <v>10</v>
      </c>
      <c r="K94" s="290">
        <v>44734</v>
      </c>
      <c r="L94" s="291">
        <v>105</v>
      </c>
      <c r="M94" s="292">
        <v>12.25</v>
      </c>
      <c r="S94" s="319">
        <v>44748</v>
      </c>
      <c r="T94" s="193">
        <v>178</v>
      </c>
      <c r="U94" s="194">
        <v>11.5</v>
      </c>
      <c r="V94" s="28">
        <f>SUM(U83:U94)</f>
        <v>133.75</v>
      </c>
      <c r="Y94" s="195">
        <v>44792</v>
      </c>
      <c r="Z94" s="196">
        <v>407</v>
      </c>
      <c r="AA94" s="197">
        <v>9</v>
      </c>
    </row>
    <row r="95" spans="1:27">
      <c r="A95" s="244">
        <v>44673</v>
      </c>
      <c r="B95" s="245">
        <v>1355</v>
      </c>
      <c r="C95" s="246">
        <v>12.5</v>
      </c>
      <c r="F95" s="235">
        <v>44706</v>
      </c>
      <c r="G95" s="236">
        <v>1484</v>
      </c>
      <c r="H95" s="237">
        <v>11.5</v>
      </c>
      <c r="K95" s="290">
        <v>44734</v>
      </c>
      <c r="L95" s="291">
        <v>106</v>
      </c>
      <c r="M95" s="292">
        <v>10.25</v>
      </c>
      <c r="S95" s="320">
        <v>44750</v>
      </c>
      <c r="T95" s="236">
        <v>179</v>
      </c>
      <c r="U95" s="237">
        <v>10</v>
      </c>
      <c r="Y95" s="195">
        <v>44792</v>
      </c>
      <c r="Z95" s="196">
        <v>408</v>
      </c>
      <c r="AA95" s="197">
        <v>11.25</v>
      </c>
    </row>
    <row r="96" spans="1:27">
      <c r="A96" s="244">
        <v>44673</v>
      </c>
      <c r="B96" s="245">
        <v>1356</v>
      </c>
      <c r="C96" s="246">
        <v>12.5</v>
      </c>
      <c r="F96" s="235">
        <v>44706</v>
      </c>
      <c r="G96" s="236">
        <v>1485</v>
      </c>
      <c r="H96" s="237">
        <v>11.5</v>
      </c>
      <c r="K96" s="290">
        <v>44734</v>
      </c>
      <c r="L96" s="291">
        <v>107</v>
      </c>
      <c r="M96" s="292">
        <v>9.75</v>
      </c>
      <c r="S96" s="320">
        <v>44750</v>
      </c>
      <c r="T96" s="236">
        <v>180</v>
      </c>
      <c r="U96" s="237">
        <v>10</v>
      </c>
      <c r="Y96" s="195">
        <v>44792</v>
      </c>
      <c r="Z96" s="196">
        <v>409</v>
      </c>
      <c r="AA96" s="197">
        <v>8</v>
      </c>
    </row>
    <row r="97" spans="1:28">
      <c r="A97" s="244">
        <v>44673</v>
      </c>
      <c r="B97" s="245">
        <v>1357</v>
      </c>
      <c r="C97" s="246">
        <v>9</v>
      </c>
      <c r="F97" s="235">
        <v>44706</v>
      </c>
      <c r="G97" s="236">
        <v>1486</v>
      </c>
      <c r="H97" s="237">
        <v>12</v>
      </c>
      <c r="K97" s="290">
        <v>44734</v>
      </c>
      <c r="L97" s="291">
        <v>108</v>
      </c>
      <c r="M97" s="292">
        <v>12.75</v>
      </c>
      <c r="S97" s="320">
        <v>44750</v>
      </c>
      <c r="T97" s="236">
        <v>181</v>
      </c>
      <c r="U97" s="237">
        <v>10</v>
      </c>
      <c r="Y97" s="195">
        <v>44792</v>
      </c>
      <c r="Z97" s="196">
        <v>410</v>
      </c>
      <c r="AA97" s="197">
        <v>10.25</v>
      </c>
    </row>
    <row r="98" spans="1:28">
      <c r="A98" s="244">
        <v>44673</v>
      </c>
      <c r="B98" s="245">
        <v>1358</v>
      </c>
      <c r="C98" s="246">
        <v>10.75</v>
      </c>
      <c r="F98" s="235">
        <v>44706</v>
      </c>
      <c r="G98" s="236">
        <v>1487</v>
      </c>
      <c r="H98" s="237">
        <v>12</v>
      </c>
      <c r="K98" s="290">
        <v>44734</v>
      </c>
      <c r="L98" s="291">
        <v>109</v>
      </c>
      <c r="M98" s="292">
        <v>12</v>
      </c>
      <c r="S98" s="320">
        <v>44750</v>
      </c>
      <c r="T98" s="236">
        <v>182</v>
      </c>
      <c r="U98" s="237">
        <v>10</v>
      </c>
      <c r="Y98" s="195">
        <v>44792</v>
      </c>
      <c r="Z98" s="196">
        <v>411</v>
      </c>
      <c r="AA98" s="197">
        <v>11.5</v>
      </c>
    </row>
    <row r="99" spans="1:28">
      <c r="A99" s="244">
        <v>44673</v>
      </c>
      <c r="B99" s="245">
        <v>1359</v>
      </c>
      <c r="C99" s="246">
        <v>10</v>
      </c>
      <c r="F99" s="235">
        <v>44706</v>
      </c>
      <c r="G99" s="236">
        <v>1488</v>
      </c>
      <c r="H99" s="237">
        <v>10</v>
      </c>
      <c r="K99" s="290">
        <v>44734</v>
      </c>
      <c r="L99" s="291">
        <v>110</v>
      </c>
      <c r="M99" s="292">
        <v>12.25</v>
      </c>
      <c r="S99" s="320">
        <v>44750</v>
      </c>
      <c r="T99" s="236">
        <v>183</v>
      </c>
      <c r="U99" s="237">
        <v>11</v>
      </c>
      <c r="Y99" s="195">
        <v>44792</v>
      </c>
      <c r="Z99" s="196">
        <v>412</v>
      </c>
      <c r="AA99" s="197">
        <v>10</v>
      </c>
    </row>
    <row r="100" spans="1:28">
      <c r="A100" s="244">
        <v>44673</v>
      </c>
      <c r="B100" s="245">
        <v>1360</v>
      </c>
      <c r="C100" s="246">
        <v>13</v>
      </c>
      <c r="F100" s="235">
        <v>44706</v>
      </c>
      <c r="G100" s="236">
        <v>1489</v>
      </c>
      <c r="H100" s="237">
        <v>11</v>
      </c>
      <c r="K100" s="290">
        <v>44734</v>
      </c>
      <c r="L100" s="291">
        <v>111</v>
      </c>
      <c r="M100" s="292">
        <v>12</v>
      </c>
      <c r="S100" s="320">
        <v>44750</v>
      </c>
      <c r="T100" s="236">
        <v>184</v>
      </c>
      <c r="U100" s="237">
        <v>11</v>
      </c>
      <c r="Y100" s="195">
        <v>44792</v>
      </c>
      <c r="Z100" s="196">
        <v>413</v>
      </c>
      <c r="AA100" s="197">
        <v>10</v>
      </c>
    </row>
    <row r="101" spans="1:28">
      <c r="A101" s="244">
        <v>44673</v>
      </c>
      <c r="B101" s="245">
        <v>1361</v>
      </c>
      <c r="C101" s="246">
        <v>12.5</v>
      </c>
      <c r="F101" s="235">
        <v>44706</v>
      </c>
      <c r="G101" s="236">
        <v>1490</v>
      </c>
      <c r="H101" s="237">
        <v>11</v>
      </c>
      <c r="K101" s="290">
        <v>44734</v>
      </c>
      <c r="L101" s="291">
        <v>112</v>
      </c>
      <c r="M101" s="292">
        <v>10</v>
      </c>
      <c r="S101" s="320">
        <v>44750</v>
      </c>
      <c r="T101" s="236">
        <v>185</v>
      </c>
      <c r="U101" s="237">
        <v>10.25</v>
      </c>
      <c r="Y101" s="195">
        <v>44792</v>
      </c>
      <c r="Z101" s="196">
        <v>414</v>
      </c>
      <c r="AA101" s="197">
        <v>10</v>
      </c>
    </row>
    <row r="102" spans="1:28">
      <c r="A102" s="244">
        <v>44673</v>
      </c>
      <c r="B102" s="245">
        <v>1362</v>
      </c>
      <c r="C102" s="246">
        <v>10</v>
      </c>
      <c r="F102" s="235">
        <v>44706</v>
      </c>
      <c r="G102" s="236">
        <v>1491</v>
      </c>
      <c r="H102" s="237">
        <v>11</v>
      </c>
      <c r="K102" s="290">
        <v>44734</v>
      </c>
      <c r="L102" s="291">
        <v>113</v>
      </c>
      <c r="M102" s="292">
        <v>10</v>
      </c>
      <c r="S102" s="320">
        <v>44750</v>
      </c>
      <c r="T102" s="236">
        <v>186</v>
      </c>
      <c r="U102" s="237">
        <v>13.5</v>
      </c>
      <c r="Y102" s="195">
        <v>44792</v>
      </c>
      <c r="Z102" s="196">
        <v>415</v>
      </c>
      <c r="AA102" s="197">
        <v>10</v>
      </c>
    </row>
    <row r="103" spans="1:28">
      <c r="A103" s="244">
        <v>44673</v>
      </c>
      <c r="B103" s="245">
        <v>1363</v>
      </c>
      <c r="C103" s="246">
        <v>10.75</v>
      </c>
      <c r="F103" s="235">
        <v>44706</v>
      </c>
      <c r="G103" s="236">
        <v>1492</v>
      </c>
      <c r="H103" s="237">
        <v>12</v>
      </c>
      <c r="K103" s="290">
        <v>44734</v>
      </c>
      <c r="L103" s="291">
        <v>114</v>
      </c>
      <c r="M103" s="292">
        <v>11</v>
      </c>
      <c r="S103" s="320">
        <v>44750</v>
      </c>
      <c r="T103" s="236">
        <v>187</v>
      </c>
      <c r="U103" s="237">
        <v>10.5</v>
      </c>
      <c r="Y103" s="195">
        <v>44792</v>
      </c>
      <c r="Z103" s="196">
        <v>416</v>
      </c>
      <c r="AA103" s="197">
        <v>10</v>
      </c>
    </row>
    <row r="104" spans="1:28">
      <c r="A104" s="244">
        <v>44673</v>
      </c>
      <c r="B104" s="245">
        <v>1364</v>
      </c>
      <c r="C104" s="246">
        <v>12.5</v>
      </c>
      <c r="F104" s="235">
        <v>44706</v>
      </c>
      <c r="G104" s="236">
        <v>1493</v>
      </c>
      <c r="H104" s="237">
        <v>10.5</v>
      </c>
      <c r="K104" s="290">
        <v>44734</v>
      </c>
      <c r="L104" s="291">
        <v>115</v>
      </c>
      <c r="M104" s="292">
        <v>12</v>
      </c>
      <c r="S104" s="320">
        <v>44750</v>
      </c>
      <c r="T104" s="236">
        <v>188</v>
      </c>
      <c r="U104" s="237">
        <v>10.5</v>
      </c>
      <c r="Y104" s="195">
        <v>44792</v>
      </c>
      <c r="Z104" s="196">
        <v>417</v>
      </c>
      <c r="AA104" s="197">
        <v>7.75</v>
      </c>
    </row>
    <row r="105" spans="1:28">
      <c r="A105" s="244">
        <v>44673</v>
      </c>
      <c r="B105" s="245">
        <v>1365</v>
      </c>
      <c r="C105" s="246">
        <v>12</v>
      </c>
      <c r="D105" s="28">
        <f>SUM(C93:C105)</f>
        <v>148</v>
      </c>
      <c r="F105" s="235">
        <v>44706</v>
      </c>
      <c r="G105" s="236">
        <v>1494</v>
      </c>
      <c r="H105" s="237">
        <v>12</v>
      </c>
      <c r="K105" s="290">
        <v>44734</v>
      </c>
      <c r="L105" s="291">
        <v>116</v>
      </c>
      <c r="M105" s="292">
        <v>11</v>
      </c>
      <c r="S105" s="320">
        <v>44750</v>
      </c>
      <c r="T105" s="236">
        <v>189</v>
      </c>
      <c r="U105" s="237">
        <v>10</v>
      </c>
      <c r="Y105" s="195">
        <v>44792</v>
      </c>
      <c r="Z105" s="196">
        <v>418</v>
      </c>
      <c r="AA105" s="197">
        <v>12</v>
      </c>
    </row>
    <row r="106" spans="1:28">
      <c r="A106" s="184">
        <v>44678</v>
      </c>
      <c r="B106" s="185">
        <v>1366</v>
      </c>
      <c r="C106" s="220">
        <v>10.75</v>
      </c>
      <c r="F106" s="235">
        <v>44706</v>
      </c>
      <c r="G106" s="236">
        <v>1495</v>
      </c>
      <c r="H106" s="237">
        <v>12</v>
      </c>
      <c r="I106" s="28">
        <f>SUM(H94:H106)</f>
        <v>146.5</v>
      </c>
      <c r="J106" s="28"/>
      <c r="K106" s="276">
        <v>44736</v>
      </c>
      <c r="L106" s="277">
        <v>117</v>
      </c>
      <c r="M106" s="278">
        <v>10.25</v>
      </c>
      <c r="S106" s="320">
        <v>44750</v>
      </c>
      <c r="T106" s="236">
        <v>190</v>
      </c>
      <c r="U106" s="237">
        <v>11</v>
      </c>
      <c r="Y106" s="195">
        <v>44792</v>
      </c>
      <c r="Z106" s="196">
        <v>419</v>
      </c>
      <c r="AA106" s="197">
        <v>13</v>
      </c>
      <c r="AB106" s="28">
        <f>SUM(AA79:AA106)</f>
        <v>287.25</v>
      </c>
    </row>
    <row r="107" spans="1:28">
      <c r="A107" s="184">
        <v>44678</v>
      </c>
      <c r="B107" s="185">
        <v>1367</v>
      </c>
      <c r="C107" s="220">
        <v>11</v>
      </c>
      <c r="F107" s="179">
        <v>44708</v>
      </c>
      <c r="G107">
        <v>1496</v>
      </c>
      <c r="H107" s="189">
        <v>11.75</v>
      </c>
      <c r="K107" s="276">
        <v>44736</v>
      </c>
      <c r="L107" s="277">
        <v>118</v>
      </c>
      <c r="M107" s="278">
        <v>12</v>
      </c>
      <c r="S107" s="320">
        <v>44750</v>
      </c>
      <c r="T107" s="236">
        <v>191</v>
      </c>
      <c r="U107" s="237">
        <v>12</v>
      </c>
      <c r="Y107" s="182">
        <v>44797</v>
      </c>
      <c r="Z107" s="183">
        <v>420</v>
      </c>
      <c r="AA107" s="191">
        <v>10</v>
      </c>
    </row>
    <row r="108" spans="1:28">
      <c r="A108" s="184">
        <v>44678</v>
      </c>
      <c r="B108" s="185">
        <v>1368</v>
      </c>
      <c r="C108" s="220">
        <v>10</v>
      </c>
      <c r="F108" s="179">
        <v>44708</v>
      </c>
      <c r="G108">
        <v>1497</v>
      </c>
      <c r="H108" s="189">
        <v>15</v>
      </c>
      <c r="K108" s="276">
        <v>44736</v>
      </c>
      <c r="L108" s="277">
        <v>119</v>
      </c>
      <c r="M108" s="278">
        <v>10.5</v>
      </c>
      <c r="S108" s="320">
        <v>44750</v>
      </c>
      <c r="T108" s="236">
        <v>192</v>
      </c>
      <c r="U108" s="237">
        <v>12</v>
      </c>
      <c r="Y108" s="182">
        <v>44797</v>
      </c>
      <c r="Z108" s="183">
        <v>421</v>
      </c>
      <c r="AA108" s="191">
        <v>11.5</v>
      </c>
    </row>
    <row r="109" spans="1:28">
      <c r="A109" s="184">
        <v>44678</v>
      </c>
      <c r="B109" s="185">
        <v>1369</v>
      </c>
      <c r="C109" s="220">
        <v>10.5</v>
      </c>
      <c r="F109" s="179">
        <v>44708</v>
      </c>
      <c r="G109">
        <v>1498</v>
      </c>
      <c r="H109" s="189">
        <v>12</v>
      </c>
      <c r="K109" s="276">
        <v>44736</v>
      </c>
      <c r="L109" s="277">
        <v>120</v>
      </c>
      <c r="M109" s="278">
        <v>12</v>
      </c>
      <c r="S109" s="320">
        <v>44750</v>
      </c>
      <c r="T109" s="236">
        <v>193</v>
      </c>
      <c r="U109" s="237">
        <v>10.5</v>
      </c>
      <c r="Y109" s="182">
        <v>44797</v>
      </c>
      <c r="Z109" s="183">
        <v>422</v>
      </c>
      <c r="AA109" s="191">
        <v>11.5</v>
      </c>
    </row>
    <row r="110" spans="1:28">
      <c r="A110" s="184">
        <v>44678</v>
      </c>
      <c r="B110" s="185">
        <v>1370</v>
      </c>
      <c r="C110" s="220">
        <v>10</v>
      </c>
      <c r="F110" s="179">
        <v>44708</v>
      </c>
      <c r="G110">
        <v>1499</v>
      </c>
      <c r="H110" s="189">
        <v>12</v>
      </c>
      <c r="K110" s="276">
        <v>44736</v>
      </c>
      <c r="L110" s="277">
        <v>121</v>
      </c>
      <c r="M110" s="278">
        <v>13</v>
      </c>
      <c r="S110" s="320">
        <v>44750</v>
      </c>
      <c r="T110" s="236">
        <v>194</v>
      </c>
      <c r="U110" s="237">
        <v>10.75</v>
      </c>
      <c r="Y110" s="182">
        <v>44797</v>
      </c>
      <c r="Z110" s="183">
        <v>423</v>
      </c>
      <c r="AA110" s="191">
        <v>10</v>
      </c>
    </row>
    <row r="111" spans="1:28">
      <c r="A111" s="184">
        <v>44678</v>
      </c>
      <c r="B111" s="185">
        <v>1371</v>
      </c>
      <c r="C111" s="220">
        <v>12</v>
      </c>
      <c r="F111" s="179">
        <v>44708</v>
      </c>
      <c r="G111">
        <v>1500</v>
      </c>
      <c r="H111" s="189">
        <v>10.5</v>
      </c>
      <c r="I111" s="28">
        <f>SUM(H107:H111)</f>
        <v>61.25</v>
      </c>
      <c r="J111" s="28"/>
      <c r="K111" s="276">
        <v>44736</v>
      </c>
      <c r="L111" s="277">
        <v>122</v>
      </c>
      <c r="M111" s="278">
        <v>10.25</v>
      </c>
      <c r="S111" s="320">
        <v>44750</v>
      </c>
      <c r="T111" s="236">
        <v>195</v>
      </c>
      <c r="U111" s="237">
        <v>12.25</v>
      </c>
      <c r="Y111" s="182">
        <v>44797</v>
      </c>
      <c r="Z111" s="183">
        <v>424</v>
      </c>
      <c r="AA111" s="191">
        <v>12</v>
      </c>
    </row>
    <row r="112" spans="1:28">
      <c r="A112" s="184">
        <v>44678</v>
      </c>
      <c r="B112" s="185">
        <v>1372</v>
      </c>
      <c r="C112" s="220">
        <v>11.5</v>
      </c>
      <c r="F112" s="179">
        <v>44708</v>
      </c>
      <c r="G112">
        <v>1</v>
      </c>
      <c r="H112" s="189">
        <v>9.5</v>
      </c>
      <c r="K112" s="276">
        <v>44736</v>
      </c>
      <c r="L112" s="277">
        <v>123</v>
      </c>
      <c r="M112" s="278">
        <v>10.75</v>
      </c>
      <c r="S112" s="320">
        <v>44750</v>
      </c>
      <c r="T112" s="236">
        <v>196</v>
      </c>
      <c r="U112" s="237">
        <v>10.5</v>
      </c>
      <c r="V112" s="28">
        <f>SUM(U95:U112)</f>
        <v>195.75</v>
      </c>
      <c r="Y112" s="182">
        <v>44797</v>
      </c>
      <c r="Z112" s="183">
        <v>425</v>
      </c>
      <c r="AA112" s="191">
        <v>12</v>
      </c>
    </row>
    <row r="113" spans="1:28">
      <c r="A113" s="184">
        <v>44678</v>
      </c>
      <c r="B113" s="185">
        <v>1373</v>
      </c>
      <c r="C113" s="220">
        <v>11.5</v>
      </c>
      <c r="F113" s="179">
        <v>44708</v>
      </c>
      <c r="G113">
        <v>2</v>
      </c>
      <c r="H113" s="189">
        <v>11.5</v>
      </c>
      <c r="K113" s="276">
        <v>44736</v>
      </c>
      <c r="L113" s="277">
        <v>124</v>
      </c>
      <c r="M113" s="278">
        <v>12</v>
      </c>
      <c r="S113" s="321">
        <v>44755</v>
      </c>
      <c r="T113" s="263">
        <v>197</v>
      </c>
      <c r="U113" s="234">
        <v>12</v>
      </c>
      <c r="Y113" s="182">
        <v>44797</v>
      </c>
      <c r="Z113" s="183">
        <v>426</v>
      </c>
      <c r="AA113" s="191">
        <v>15.5</v>
      </c>
    </row>
    <row r="114" spans="1:28">
      <c r="A114" s="184">
        <v>44678</v>
      </c>
      <c r="B114" s="185">
        <v>1374</v>
      </c>
      <c r="C114" s="220">
        <v>12.5</v>
      </c>
      <c r="F114" s="179">
        <v>44708</v>
      </c>
      <c r="G114">
        <v>3</v>
      </c>
      <c r="H114" s="189">
        <v>12</v>
      </c>
      <c r="K114" s="276">
        <v>44736</v>
      </c>
      <c r="L114" s="277">
        <v>125</v>
      </c>
      <c r="M114" s="278">
        <v>13.25</v>
      </c>
      <c r="S114" s="321">
        <v>44755</v>
      </c>
      <c r="T114" s="263">
        <v>198</v>
      </c>
      <c r="U114" s="234">
        <v>12</v>
      </c>
      <c r="Y114" s="182">
        <v>44797</v>
      </c>
      <c r="Z114" s="183">
        <v>427</v>
      </c>
      <c r="AA114" s="191">
        <v>11</v>
      </c>
    </row>
    <row r="115" spans="1:28">
      <c r="A115" s="184">
        <v>44678</v>
      </c>
      <c r="B115" s="185">
        <v>1375</v>
      </c>
      <c r="C115" s="220">
        <v>13</v>
      </c>
      <c r="D115" s="28">
        <f>SUM(C106:C115)</f>
        <v>112.75</v>
      </c>
      <c r="F115" s="179">
        <v>44708</v>
      </c>
      <c r="G115">
        <v>4</v>
      </c>
      <c r="H115" s="189">
        <v>13.75</v>
      </c>
      <c r="K115" s="276">
        <v>44736</v>
      </c>
      <c r="L115" s="277">
        <v>126</v>
      </c>
      <c r="M115" s="278">
        <v>12.25</v>
      </c>
      <c r="S115" s="321">
        <v>44755</v>
      </c>
      <c r="T115" s="263">
        <v>199</v>
      </c>
      <c r="U115" s="234">
        <v>10</v>
      </c>
      <c r="Y115" s="182">
        <v>44797</v>
      </c>
      <c r="Z115" s="183">
        <v>428</v>
      </c>
      <c r="AA115" s="191">
        <v>10.75</v>
      </c>
    </row>
    <row r="116" spans="1:28">
      <c r="A116" s="179">
        <v>44680</v>
      </c>
      <c r="B116">
        <v>1376</v>
      </c>
      <c r="C116" s="189">
        <v>10.75</v>
      </c>
      <c r="F116" s="179">
        <v>44708</v>
      </c>
      <c r="G116">
        <v>5</v>
      </c>
      <c r="H116" s="189">
        <v>12</v>
      </c>
      <c r="K116" s="276">
        <v>44736</v>
      </c>
      <c r="L116" s="277">
        <v>127</v>
      </c>
      <c r="M116" s="278">
        <v>10.25</v>
      </c>
      <c r="S116" s="321">
        <v>44755</v>
      </c>
      <c r="T116" s="263">
        <v>200</v>
      </c>
      <c r="U116" s="234">
        <v>11.75</v>
      </c>
      <c r="Y116" s="182">
        <v>44797</v>
      </c>
      <c r="Z116" s="183">
        <v>429</v>
      </c>
      <c r="AA116" s="191">
        <v>10.5</v>
      </c>
    </row>
    <row r="117" spans="1:28">
      <c r="A117" s="179">
        <v>44680</v>
      </c>
      <c r="B117">
        <v>1377</v>
      </c>
      <c r="C117" s="189">
        <v>12.5</v>
      </c>
      <c r="F117" s="179">
        <v>44708</v>
      </c>
      <c r="G117">
        <v>6</v>
      </c>
      <c r="H117" s="189">
        <v>13</v>
      </c>
      <c r="K117" s="276">
        <v>44736</v>
      </c>
      <c r="L117" s="277">
        <v>128</v>
      </c>
      <c r="M117" s="278">
        <v>12</v>
      </c>
      <c r="S117" s="321">
        <v>44755</v>
      </c>
      <c r="T117" s="263">
        <v>201</v>
      </c>
      <c r="U117" s="234">
        <v>12</v>
      </c>
      <c r="Y117" s="182">
        <v>44797</v>
      </c>
      <c r="Z117" s="183">
        <v>430</v>
      </c>
      <c r="AA117" s="191">
        <v>10.25</v>
      </c>
    </row>
    <row r="118" spans="1:28">
      <c r="A118" s="179">
        <v>44680</v>
      </c>
      <c r="B118">
        <v>1378</v>
      </c>
      <c r="C118" s="189">
        <v>10</v>
      </c>
      <c r="F118" s="179">
        <v>44708</v>
      </c>
      <c r="G118">
        <v>7</v>
      </c>
      <c r="H118" s="189">
        <v>12</v>
      </c>
      <c r="K118" s="276">
        <v>44736</v>
      </c>
      <c r="L118" s="277">
        <v>129</v>
      </c>
      <c r="M118" s="278">
        <v>12</v>
      </c>
      <c r="S118" s="321">
        <v>44755</v>
      </c>
      <c r="T118" s="263">
        <v>202</v>
      </c>
      <c r="U118" s="234">
        <v>14.25</v>
      </c>
      <c r="Y118" s="182">
        <v>44797</v>
      </c>
      <c r="Z118" s="183">
        <v>431</v>
      </c>
      <c r="AA118" s="191">
        <v>12</v>
      </c>
    </row>
    <row r="119" spans="1:28">
      <c r="A119" s="179">
        <v>44680</v>
      </c>
      <c r="B119">
        <v>1379</v>
      </c>
      <c r="C119" s="189">
        <v>11</v>
      </c>
      <c r="F119" s="179">
        <v>44708</v>
      </c>
      <c r="G119">
        <v>8</v>
      </c>
      <c r="H119" s="189">
        <v>12</v>
      </c>
      <c r="K119" s="276">
        <v>44736</v>
      </c>
      <c r="L119" s="277">
        <v>130</v>
      </c>
      <c r="M119" s="278">
        <v>13.25</v>
      </c>
      <c r="S119" s="321">
        <v>44755</v>
      </c>
      <c r="T119" s="263">
        <v>203</v>
      </c>
      <c r="U119" s="234">
        <v>14.25</v>
      </c>
      <c r="Y119" s="182">
        <v>44797</v>
      </c>
      <c r="Z119" s="183">
        <v>432</v>
      </c>
      <c r="AA119" s="191">
        <v>12.25</v>
      </c>
    </row>
    <row r="120" spans="1:28">
      <c r="A120" s="179">
        <v>44680</v>
      </c>
      <c r="B120">
        <v>1380</v>
      </c>
      <c r="C120" s="189">
        <v>10.75</v>
      </c>
      <c r="F120" s="179">
        <v>44708</v>
      </c>
      <c r="G120">
        <v>9</v>
      </c>
      <c r="H120" s="189">
        <v>12.75</v>
      </c>
      <c r="K120" s="276">
        <v>44736</v>
      </c>
      <c r="L120" s="277">
        <v>131</v>
      </c>
      <c r="M120" s="278">
        <v>12</v>
      </c>
      <c r="S120" s="321">
        <v>44755</v>
      </c>
      <c r="T120" s="263">
        <v>204</v>
      </c>
      <c r="U120" s="234">
        <v>11.5</v>
      </c>
      <c r="Y120" s="182">
        <v>44797</v>
      </c>
      <c r="Z120" s="183">
        <v>433</v>
      </c>
      <c r="AA120" s="191">
        <v>10.5</v>
      </c>
    </row>
    <row r="121" spans="1:28">
      <c r="A121" s="179">
        <v>44680</v>
      </c>
      <c r="B121">
        <v>1381</v>
      </c>
      <c r="C121" s="189">
        <v>12</v>
      </c>
      <c r="F121" s="179">
        <v>44708</v>
      </c>
      <c r="G121">
        <v>10</v>
      </c>
      <c r="H121" s="189">
        <v>11</v>
      </c>
      <c r="K121" s="276">
        <v>44736</v>
      </c>
      <c r="L121" s="277">
        <v>132</v>
      </c>
      <c r="M121" s="278">
        <v>11.25</v>
      </c>
      <c r="S121" s="321">
        <v>44755</v>
      </c>
      <c r="T121" s="263">
        <v>205</v>
      </c>
      <c r="U121" s="234">
        <v>11</v>
      </c>
      <c r="Y121" s="182">
        <v>44797</v>
      </c>
      <c r="Z121" s="183">
        <v>434</v>
      </c>
      <c r="AA121" s="191">
        <v>13</v>
      </c>
    </row>
    <row r="122" spans="1:28">
      <c r="A122" s="179">
        <v>44680</v>
      </c>
      <c r="B122">
        <v>1382</v>
      </c>
      <c r="C122" s="189">
        <v>12</v>
      </c>
      <c r="F122" s="179">
        <v>44708</v>
      </c>
      <c r="G122">
        <v>11</v>
      </c>
      <c r="H122" s="189">
        <v>10</v>
      </c>
      <c r="K122" s="276">
        <v>44736</v>
      </c>
      <c r="L122" s="277">
        <v>133</v>
      </c>
      <c r="M122" s="278">
        <v>12</v>
      </c>
      <c r="S122" s="321">
        <v>44755</v>
      </c>
      <c r="T122" s="263">
        <v>206</v>
      </c>
      <c r="U122" s="234">
        <v>12</v>
      </c>
      <c r="Y122" s="182">
        <v>44797</v>
      </c>
      <c r="Z122" s="183">
        <v>435</v>
      </c>
      <c r="AA122" s="191">
        <v>12</v>
      </c>
    </row>
    <row r="123" spans="1:28">
      <c r="A123" s="179">
        <v>44680</v>
      </c>
      <c r="B123">
        <v>1383</v>
      </c>
      <c r="C123" s="189">
        <v>12.25</v>
      </c>
      <c r="F123" s="179">
        <v>44708</v>
      </c>
      <c r="G123">
        <v>12</v>
      </c>
      <c r="H123" s="189">
        <v>11</v>
      </c>
      <c r="K123" s="276">
        <v>44736</v>
      </c>
      <c r="L123" s="277">
        <v>134</v>
      </c>
      <c r="M123" s="278">
        <v>10.5</v>
      </c>
      <c r="S123" s="321">
        <v>44755</v>
      </c>
      <c r="T123" s="263">
        <v>207</v>
      </c>
      <c r="U123" s="234">
        <v>11.75</v>
      </c>
      <c r="Y123" s="182">
        <v>44797</v>
      </c>
      <c r="Z123" s="183">
        <v>436</v>
      </c>
      <c r="AA123" s="191">
        <v>12</v>
      </c>
      <c r="AB123" s="28">
        <f>SUM(AA107:AA123)</f>
        <v>196.75</v>
      </c>
    </row>
    <row r="124" spans="1:28">
      <c r="A124" s="179">
        <v>44680</v>
      </c>
      <c r="B124">
        <v>1384</v>
      </c>
      <c r="C124" s="189">
        <v>10</v>
      </c>
      <c r="K124" s="180">
        <v>44741</v>
      </c>
      <c r="L124" s="288">
        <v>135</v>
      </c>
      <c r="M124" s="289">
        <v>10</v>
      </c>
      <c r="S124" s="321">
        <v>44755</v>
      </c>
      <c r="T124" s="263">
        <v>208</v>
      </c>
      <c r="U124" s="234">
        <v>11.5</v>
      </c>
      <c r="Y124" s="192">
        <v>44799</v>
      </c>
      <c r="Z124" s="193">
        <v>437</v>
      </c>
      <c r="AA124" s="194">
        <v>12.5</v>
      </c>
    </row>
    <row r="125" spans="1:28">
      <c r="A125" s="179">
        <v>44680</v>
      </c>
      <c r="B125">
        <v>1385</v>
      </c>
      <c r="C125" s="189">
        <v>14</v>
      </c>
      <c r="K125" s="180">
        <v>44741</v>
      </c>
      <c r="L125" s="288">
        <v>136</v>
      </c>
      <c r="M125" s="289">
        <v>12</v>
      </c>
      <c r="S125" s="321">
        <v>44755</v>
      </c>
      <c r="T125" s="263">
        <v>209</v>
      </c>
      <c r="U125" s="234">
        <v>11.75</v>
      </c>
      <c r="Y125" s="192">
        <v>44799</v>
      </c>
      <c r="Z125" s="193">
        <v>438</v>
      </c>
      <c r="AA125" s="194">
        <v>12</v>
      </c>
    </row>
    <row r="126" spans="1:28">
      <c r="A126" s="179">
        <v>44680</v>
      </c>
      <c r="B126">
        <v>1386</v>
      </c>
      <c r="C126" s="189">
        <v>12.5</v>
      </c>
      <c r="K126" s="180">
        <v>44741</v>
      </c>
      <c r="L126" s="288">
        <v>137</v>
      </c>
      <c r="M126" s="289">
        <v>9.25</v>
      </c>
      <c r="S126" s="321">
        <v>44755</v>
      </c>
      <c r="T126" s="263">
        <v>210</v>
      </c>
      <c r="U126" s="234">
        <v>11.5</v>
      </c>
      <c r="Y126" s="192">
        <v>44799</v>
      </c>
      <c r="Z126" s="193">
        <v>439</v>
      </c>
      <c r="AA126" s="194">
        <v>10.75</v>
      </c>
    </row>
    <row r="127" spans="1:28">
      <c r="A127" s="179">
        <v>44680</v>
      </c>
      <c r="B127">
        <v>1387</v>
      </c>
      <c r="C127" s="189">
        <v>11.75</v>
      </c>
      <c r="K127" s="180">
        <v>44741</v>
      </c>
      <c r="L127" s="288">
        <v>138</v>
      </c>
      <c r="M127" s="289">
        <v>12.75</v>
      </c>
      <c r="S127" s="321">
        <v>44755</v>
      </c>
      <c r="T127" s="263">
        <v>211</v>
      </c>
      <c r="U127" s="234">
        <v>12</v>
      </c>
      <c r="Y127" s="192">
        <v>44799</v>
      </c>
      <c r="Z127" s="193">
        <v>440</v>
      </c>
      <c r="AA127" s="194">
        <v>10.75</v>
      </c>
    </row>
    <row r="128" spans="1:28">
      <c r="A128" s="179">
        <v>44680</v>
      </c>
      <c r="B128">
        <v>1388</v>
      </c>
      <c r="C128" s="189">
        <v>12</v>
      </c>
      <c r="K128" s="180">
        <v>44741</v>
      </c>
      <c r="L128" s="288">
        <v>139</v>
      </c>
      <c r="M128" s="289">
        <v>10</v>
      </c>
      <c r="S128" s="321">
        <v>44755</v>
      </c>
      <c r="T128" s="263">
        <v>212</v>
      </c>
      <c r="U128" s="234">
        <v>13.5</v>
      </c>
      <c r="Y128" s="192">
        <v>44799</v>
      </c>
      <c r="Z128" s="193">
        <v>441</v>
      </c>
      <c r="AA128" s="194">
        <v>12</v>
      </c>
    </row>
    <row r="129" spans="1:27">
      <c r="A129" s="179">
        <v>44680</v>
      </c>
      <c r="B129">
        <v>1389</v>
      </c>
      <c r="C129" s="189">
        <v>12.25</v>
      </c>
      <c r="F129" s="235">
        <v>44683</v>
      </c>
      <c r="G129" s="236">
        <v>141</v>
      </c>
      <c r="H129" s="237">
        <v>14.5</v>
      </c>
      <c r="K129" s="180">
        <v>44741</v>
      </c>
      <c r="L129" s="288">
        <v>140</v>
      </c>
      <c r="M129" s="289">
        <v>12.75</v>
      </c>
      <c r="S129" s="321">
        <v>44755</v>
      </c>
      <c r="T129" s="263">
        <v>213</v>
      </c>
      <c r="U129" s="234">
        <v>12</v>
      </c>
      <c r="V129" s="28">
        <f>SUM(U113:U129)</f>
        <v>204.75</v>
      </c>
      <c r="Y129" s="192">
        <v>44799</v>
      </c>
      <c r="Z129" s="193">
        <v>442</v>
      </c>
      <c r="AA129" s="194">
        <v>11.75</v>
      </c>
    </row>
    <row r="130" spans="1:27">
      <c r="A130" s="179">
        <v>44680</v>
      </c>
      <c r="B130">
        <v>1390</v>
      </c>
      <c r="C130" s="189">
        <v>10</v>
      </c>
      <c r="F130" s="235">
        <v>44683</v>
      </c>
      <c r="G130" s="236">
        <v>142</v>
      </c>
      <c r="H130" s="237">
        <v>4.9000000000000004</v>
      </c>
      <c r="K130" s="180">
        <v>44741</v>
      </c>
      <c r="L130" s="288">
        <v>141</v>
      </c>
      <c r="M130" s="289">
        <v>11.75</v>
      </c>
      <c r="S130" s="318">
        <v>44757</v>
      </c>
      <c r="T130" s="187">
        <v>214</v>
      </c>
      <c r="U130" s="224">
        <v>12</v>
      </c>
      <c r="Y130" s="192">
        <v>44799</v>
      </c>
      <c r="Z130" s="193">
        <v>443</v>
      </c>
      <c r="AA130" s="194">
        <v>11.75</v>
      </c>
    </row>
    <row r="131" spans="1:27">
      <c r="A131" s="179">
        <v>44680</v>
      </c>
      <c r="B131">
        <v>1391</v>
      </c>
      <c r="C131" s="189">
        <v>10</v>
      </c>
      <c r="D131" s="28">
        <f>SUM(C116:C131)</f>
        <v>183.75</v>
      </c>
      <c r="F131" s="235">
        <v>44683</v>
      </c>
      <c r="G131" s="236">
        <v>143</v>
      </c>
      <c r="H131" s="237">
        <v>2.9</v>
      </c>
      <c r="K131" s="180">
        <v>44741</v>
      </c>
      <c r="L131" s="288">
        <v>142</v>
      </c>
      <c r="M131" s="289">
        <v>12.5</v>
      </c>
      <c r="S131" s="318">
        <v>44757</v>
      </c>
      <c r="T131" s="187">
        <v>215</v>
      </c>
      <c r="U131" s="224">
        <v>10</v>
      </c>
      <c r="Y131" s="192">
        <v>44799</v>
      </c>
      <c r="Z131" s="193">
        <v>444</v>
      </c>
      <c r="AA131" s="194">
        <v>15</v>
      </c>
    </row>
    <row r="132" spans="1:27">
      <c r="F132" s="235">
        <v>44684</v>
      </c>
      <c r="G132" s="236">
        <v>144</v>
      </c>
      <c r="H132" s="237">
        <v>9.8000000000000007</v>
      </c>
      <c r="K132" s="180">
        <v>44741</v>
      </c>
      <c r="L132" s="288">
        <v>143</v>
      </c>
      <c r="M132" s="289">
        <v>11.25</v>
      </c>
      <c r="S132" s="318">
        <v>44757</v>
      </c>
      <c r="T132" s="187">
        <v>216</v>
      </c>
      <c r="U132" s="224">
        <v>11.5</v>
      </c>
      <c r="Y132" s="192">
        <v>44799</v>
      </c>
      <c r="Z132" s="193">
        <v>445</v>
      </c>
      <c r="AA132" s="194">
        <v>11</v>
      </c>
    </row>
    <row r="133" spans="1:27">
      <c r="C133" s="247">
        <f>SUM(C1:C132)</f>
        <v>1455</v>
      </c>
      <c r="D133" s="247">
        <f>SUM(D1:D132)</f>
        <v>1455</v>
      </c>
      <c r="F133" s="235">
        <v>44685</v>
      </c>
      <c r="G133" s="236">
        <v>145</v>
      </c>
      <c r="H133" s="237">
        <v>22.5</v>
      </c>
      <c r="K133" s="180">
        <v>44741</v>
      </c>
      <c r="L133" s="288">
        <v>144</v>
      </c>
      <c r="M133" s="289">
        <v>12.25</v>
      </c>
      <c r="S133" s="318">
        <v>44757</v>
      </c>
      <c r="T133" s="187">
        <v>217</v>
      </c>
      <c r="U133" s="224">
        <v>9.5</v>
      </c>
      <c r="Y133" s="192">
        <v>44799</v>
      </c>
      <c r="Z133" s="193">
        <v>446</v>
      </c>
      <c r="AA133" s="194">
        <v>10</v>
      </c>
    </row>
    <row r="134" spans="1:27">
      <c r="F134" s="235">
        <v>44685</v>
      </c>
      <c r="G134" s="236">
        <v>146</v>
      </c>
      <c r="H134" s="237">
        <v>3.05</v>
      </c>
      <c r="K134" s="180">
        <v>44741</v>
      </c>
      <c r="L134" s="288">
        <v>145</v>
      </c>
      <c r="M134" s="289">
        <v>12</v>
      </c>
      <c r="S134" s="318">
        <v>44757</v>
      </c>
      <c r="T134" s="187">
        <v>218</v>
      </c>
      <c r="U134" s="224">
        <v>10.25</v>
      </c>
      <c r="Y134" s="192">
        <v>44799</v>
      </c>
      <c r="Z134" s="193">
        <v>447</v>
      </c>
      <c r="AA134" s="194">
        <v>10</v>
      </c>
    </row>
    <row r="135" spans="1:27">
      <c r="F135" s="192">
        <v>44686</v>
      </c>
      <c r="G135" s="193">
        <v>147</v>
      </c>
      <c r="H135" s="194">
        <v>37.5</v>
      </c>
      <c r="K135" s="180">
        <v>44741</v>
      </c>
      <c r="L135" s="288">
        <v>146</v>
      </c>
      <c r="M135" s="289">
        <v>10.5</v>
      </c>
      <c r="S135" s="318">
        <v>44757</v>
      </c>
      <c r="T135" s="187">
        <v>219</v>
      </c>
      <c r="U135" s="224">
        <v>10.25</v>
      </c>
      <c r="Y135" s="192">
        <v>44799</v>
      </c>
      <c r="Z135" s="193">
        <v>448</v>
      </c>
      <c r="AA135" s="194">
        <v>13.5</v>
      </c>
    </row>
    <row r="136" spans="1:27">
      <c r="F136" s="192">
        <v>44686</v>
      </c>
      <c r="G136" s="193">
        <v>148</v>
      </c>
      <c r="H136" s="194">
        <v>24.5</v>
      </c>
      <c r="K136" s="180">
        <v>44741</v>
      </c>
      <c r="L136" s="288">
        <v>147</v>
      </c>
      <c r="M136" s="289">
        <v>13</v>
      </c>
      <c r="S136" s="318">
        <v>44757</v>
      </c>
      <c r="T136" s="187">
        <v>220</v>
      </c>
      <c r="U136" s="224">
        <v>12.25</v>
      </c>
      <c r="Y136" s="192">
        <v>44799</v>
      </c>
      <c r="Z136" s="193">
        <v>449</v>
      </c>
      <c r="AA136" s="194">
        <v>13.5</v>
      </c>
    </row>
    <row r="137" spans="1:27">
      <c r="F137" s="192">
        <v>44687</v>
      </c>
      <c r="G137" s="193">
        <v>149</v>
      </c>
      <c r="H137" s="194">
        <v>4.7</v>
      </c>
      <c r="L137" s="185"/>
      <c r="M137" s="220"/>
      <c r="S137" s="318">
        <v>44757</v>
      </c>
      <c r="T137" s="187">
        <v>221</v>
      </c>
      <c r="U137" s="224">
        <v>11</v>
      </c>
      <c r="Y137" s="192">
        <v>44799</v>
      </c>
      <c r="Z137" s="193">
        <v>450</v>
      </c>
      <c r="AA137" s="194">
        <v>10.5</v>
      </c>
    </row>
    <row r="138" spans="1:27">
      <c r="A138" s="180">
        <v>44652</v>
      </c>
      <c r="B138">
        <v>88</v>
      </c>
      <c r="C138" s="189">
        <v>21.25</v>
      </c>
      <c r="F138" s="264">
        <v>44688</v>
      </c>
      <c r="G138" s="265">
        <v>150</v>
      </c>
      <c r="H138" s="266">
        <v>32</v>
      </c>
      <c r="L138" s="185"/>
      <c r="M138" s="220"/>
      <c r="S138" s="318">
        <v>44757</v>
      </c>
      <c r="T138" s="187">
        <v>222</v>
      </c>
      <c r="U138" s="224">
        <v>12</v>
      </c>
      <c r="Y138" s="192">
        <v>44799</v>
      </c>
      <c r="Z138" s="193">
        <v>451</v>
      </c>
      <c r="AA138" s="194">
        <v>12</v>
      </c>
    </row>
    <row r="139" spans="1:27">
      <c r="A139" s="248">
        <v>44653</v>
      </c>
      <c r="B139" s="183">
        <v>89</v>
      </c>
      <c r="C139" s="191">
        <v>57.75</v>
      </c>
      <c r="F139" s="264">
        <v>44688</v>
      </c>
      <c r="G139" s="265">
        <v>151</v>
      </c>
      <c r="H139" s="266">
        <v>10.75</v>
      </c>
      <c r="L139" s="185"/>
      <c r="M139" s="220"/>
      <c r="S139" s="318">
        <v>44757</v>
      </c>
      <c r="T139" s="187">
        <v>223</v>
      </c>
      <c r="U139" s="224">
        <v>11.25</v>
      </c>
      <c r="Y139" s="192">
        <v>44799</v>
      </c>
      <c r="Z139" s="193">
        <v>452</v>
      </c>
      <c r="AA139" s="194">
        <v>11.5</v>
      </c>
    </row>
    <row r="140" spans="1:27">
      <c r="A140" s="248">
        <v>44653</v>
      </c>
      <c r="B140" s="183">
        <v>90</v>
      </c>
      <c r="C140" s="191">
        <v>15.6</v>
      </c>
      <c r="F140" s="264">
        <v>44688</v>
      </c>
      <c r="G140" s="265">
        <v>152</v>
      </c>
      <c r="H140" s="266">
        <v>3.4</v>
      </c>
      <c r="L140" s="185"/>
      <c r="M140" s="220">
        <f>SUM(M1:M139)</f>
        <v>1536.2</v>
      </c>
      <c r="Q140" s="220">
        <f>SUM(Q1:Q139)</f>
        <v>826.15000000000009</v>
      </c>
      <c r="S140" s="318">
        <v>44757</v>
      </c>
      <c r="T140" s="187">
        <v>224</v>
      </c>
      <c r="U140" s="224">
        <v>11.25</v>
      </c>
      <c r="Y140" s="192">
        <v>44799</v>
      </c>
      <c r="Z140" s="193">
        <v>453</v>
      </c>
      <c r="AA140" s="194">
        <v>12</v>
      </c>
    </row>
    <row r="141" spans="1:27">
      <c r="A141" s="248">
        <v>44653</v>
      </c>
      <c r="B141" s="183">
        <v>91</v>
      </c>
      <c r="C141" s="191">
        <v>2.85</v>
      </c>
      <c r="F141" s="267">
        <v>44689</v>
      </c>
      <c r="G141" s="268">
        <v>153</v>
      </c>
      <c r="H141" s="269">
        <v>8.5500000000000007</v>
      </c>
      <c r="L141" s="185"/>
      <c r="M141" s="220"/>
      <c r="Q141" s="287">
        <f>M140+Q140</f>
        <v>2362.3500000000004</v>
      </c>
      <c r="S141" s="318">
        <v>44757</v>
      </c>
      <c r="T141" s="187">
        <v>225</v>
      </c>
      <c r="U141" s="224">
        <v>13.25</v>
      </c>
      <c r="Y141" s="192">
        <v>44799</v>
      </c>
      <c r="Z141" s="193">
        <v>454</v>
      </c>
      <c r="AA141" s="194">
        <v>12</v>
      </c>
    </row>
    <row r="142" spans="1:27">
      <c r="A142" s="249">
        <v>44654</v>
      </c>
      <c r="B142" s="250">
        <v>92</v>
      </c>
      <c r="C142" s="251">
        <v>17.25</v>
      </c>
      <c r="F142" s="267">
        <v>44689</v>
      </c>
      <c r="G142" s="268">
        <v>154</v>
      </c>
      <c r="H142" s="269">
        <v>7.5</v>
      </c>
      <c r="L142" s="185"/>
      <c r="M142" s="220"/>
      <c r="S142" s="318">
        <v>44757</v>
      </c>
      <c r="T142" s="187">
        <v>226</v>
      </c>
      <c r="U142" s="224">
        <v>10</v>
      </c>
      <c r="Y142" s="192">
        <v>44799</v>
      </c>
      <c r="Z142" s="193">
        <v>455</v>
      </c>
      <c r="AA142" s="194">
        <v>12.5</v>
      </c>
    </row>
    <row r="143" spans="1:27">
      <c r="A143" s="249">
        <v>44654</v>
      </c>
      <c r="B143" s="250">
        <v>93</v>
      </c>
      <c r="C143" s="251">
        <v>25.6</v>
      </c>
      <c r="F143" s="267">
        <v>44690</v>
      </c>
      <c r="G143" s="268">
        <v>155</v>
      </c>
      <c r="H143" s="269">
        <v>24</v>
      </c>
      <c r="L143" s="185"/>
      <c r="M143" s="220"/>
      <c r="S143" s="318">
        <v>44757</v>
      </c>
      <c r="T143" s="187">
        <v>227</v>
      </c>
      <c r="U143" s="224">
        <v>10.5</v>
      </c>
      <c r="Y143" s="192">
        <v>44799</v>
      </c>
      <c r="Z143" s="193">
        <v>456</v>
      </c>
      <c r="AA143" s="194">
        <v>11</v>
      </c>
    </row>
    <row r="144" spans="1:27">
      <c r="A144" s="249">
        <v>44654</v>
      </c>
      <c r="B144" s="250">
        <v>94</v>
      </c>
      <c r="C144" s="251">
        <v>2.25</v>
      </c>
      <c r="F144" s="267">
        <v>44690</v>
      </c>
      <c r="G144" s="268">
        <v>156</v>
      </c>
      <c r="H144" s="269">
        <v>5.4</v>
      </c>
      <c r="L144" s="185"/>
      <c r="M144" s="220"/>
      <c r="S144" s="318">
        <v>44757</v>
      </c>
      <c r="T144" s="187">
        <v>228</v>
      </c>
      <c r="U144" s="224">
        <v>14</v>
      </c>
      <c r="Y144" s="192">
        <v>44799</v>
      </c>
      <c r="Z144" s="193">
        <v>457</v>
      </c>
      <c r="AA144" s="194">
        <v>11</v>
      </c>
    </row>
    <row r="145" spans="1:28">
      <c r="A145" s="180">
        <v>44655</v>
      </c>
      <c r="B145">
        <v>95</v>
      </c>
      <c r="C145" s="189">
        <v>15.05</v>
      </c>
      <c r="F145" s="267">
        <v>44690</v>
      </c>
      <c r="G145" s="268">
        <v>157</v>
      </c>
      <c r="H145" s="269">
        <v>21</v>
      </c>
      <c r="L145" s="185"/>
      <c r="M145" s="220"/>
      <c r="S145" s="318">
        <v>44757</v>
      </c>
      <c r="T145" s="187">
        <v>229</v>
      </c>
      <c r="U145" s="224">
        <v>16</v>
      </c>
      <c r="Y145" s="192">
        <v>44799</v>
      </c>
      <c r="Z145" s="193">
        <v>458</v>
      </c>
      <c r="AA145" s="194">
        <v>10.25</v>
      </c>
    </row>
    <row r="146" spans="1:28">
      <c r="A146" s="180">
        <v>44656</v>
      </c>
      <c r="B146">
        <v>96</v>
      </c>
      <c r="C146" s="189">
        <v>4.5</v>
      </c>
      <c r="F146" s="270">
        <v>44692</v>
      </c>
      <c r="G146" s="271">
        <v>158</v>
      </c>
      <c r="H146" s="272">
        <v>15.55</v>
      </c>
      <c r="L146" s="185"/>
      <c r="M146" s="220"/>
      <c r="S146" s="318">
        <v>44757</v>
      </c>
      <c r="T146" s="187">
        <v>230</v>
      </c>
      <c r="U146" s="224">
        <v>15</v>
      </c>
      <c r="Y146" s="192">
        <v>44799</v>
      </c>
      <c r="Z146" s="193">
        <v>459</v>
      </c>
      <c r="AA146" s="194">
        <v>12</v>
      </c>
    </row>
    <row r="147" spans="1:28">
      <c r="A147" s="249">
        <v>44657</v>
      </c>
      <c r="B147" s="250">
        <v>97</v>
      </c>
      <c r="C147" s="251">
        <v>14.75</v>
      </c>
      <c r="F147" s="270">
        <v>44692</v>
      </c>
      <c r="G147" s="271">
        <v>159</v>
      </c>
      <c r="H147" s="272">
        <v>5.85</v>
      </c>
      <c r="L147" s="185"/>
      <c r="M147" s="220"/>
      <c r="S147" s="318">
        <v>44757</v>
      </c>
      <c r="T147" s="187">
        <v>231</v>
      </c>
      <c r="U147" s="224">
        <v>15</v>
      </c>
      <c r="V147" s="28">
        <f>SUM(U130:U147)</f>
        <v>215</v>
      </c>
      <c r="Y147" s="192">
        <v>44799</v>
      </c>
      <c r="Z147" s="193">
        <v>460</v>
      </c>
      <c r="AA147" s="194">
        <v>12</v>
      </c>
    </row>
    <row r="148" spans="1:28">
      <c r="A148" s="249">
        <v>44657</v>
      </c>
      <c r="B148" s="250">
        <v>98</v>
      </c>
      <c r="C148" s="251">
        <v>6.3</v>
      </c>
      <c r="F148" s="270">
        <v>44693</v>
      </c>
      <c r="G148" s="271">
        <v>160</v>
      </c>
      <c r="H148" s="272">
        <v>19.25</v>
      </c>
      <c r="L148" s="185"/>
      <c r="M148" s="220"/>
      <c r="S148" s="180">
        <v>44762</v>
      </c>
      <c r="T148">
        <v>232</v>
      </c>
      <c r="U148" s="316">
        <v>11.25</v>
      </c>
      <c r="Y148" s="192">
        <v>44799</v>
      </c>
      <c r="Z148" s="193">
        <v>461</v>
      </c>
      <c r="AA148" s="194">
        <v>12</v>
      </c>
    </row>
    <row r="149" spans="1:28">
      <c r="A149" s="249">
        <v>44657</v>
      </c>
      <c r="B149" s="250">
        <v>99</v>
      </c>
      <c r="C149" s="251">
        <v>18.899999999999999</v>
      </c>
      <c r="F149" s="270">
        <v>44693</v>
      </c>
      <c r="G149" s="271">
        <v>161</v>
      </c>
      <c r="H149" s="272">
        <v>7.7</v>
      </c>
      <c r="L149" s="185"/>
      <c r="M149" s="220"/>
      <c r="S149" s="180">
        <v>44762</v>
      </c>
      <c r="T149">
        <v>233</v>
      </c>
      <c r="U149" s="316">
        <v>11</v>
      </c>
      <c r="Y149" s="192">
        <v>44799</v>
      </c>
      <c r="Z149" s="193">
        <v>462</v>
      </c>
      <c r="AA149" s="194">
        <v>10.25</v>
      </c>
      <c r="AB149" s="28">
        <f>SUM(AA124:AA149)</f>
        <v>303.5</v>
      </c>
    </row>
    <row r="150" spans="1:28">
      <c r="A150" s="180">
        <v>44658</v>
      </c>
      <c r="B150">
        <v>100</v>
      </c>
      <c r="C150" s="189">
        <v>9.0500000000000007</v>
      </c>
      <c r="F150" s="182">
        <v>44694</v>
      </c>
      <c r="G150" s="183">
        <v>162</v>
      </c>
      <c r="H150" s="191">
        <v>45.5</v>
      </c>
      <c r="L150" s="185"/>
      <c r="M150" s="220"/>
      <c r="S150" s="180">
        <v>44762</v>
      </c>
      <c r="T150">
        <v>234</v>
      </c>
      <c r="U150" s="316">
        <v>10.25</v>
      </c>
      <c r="Y150" s="179">
        <v>44804</v>
      </c>
      <c r="Z150">
        <v>463</v>
      </c>
      <c r="AA150" s="316">
        <v>12</v>
      </c>
    </row>
    <row r="151" spans="1:28">
      <c r="A151" s="180">
        <v>44658</v>
      </c>
      <c r="B151">
        <v>101</v>
      </c>
      <c r="C151" s="189">
        <v>17.7</v>
      </c>
      <c r="F151" s="182">
        <v>44694</v>
      </c>
      <c r="G151" s="183">
        <v>163</v>
      </c>
      <c r="H151" s="191">
        <v>16.850000000000001</v>
      </c>
      <c r="L151" s="185"/>
      <c r="M151" s="220"/>
      <c r="S151" s="180">
        <v>44762</v>
      </c>
      <c r="T151">
        <v>235</v>
      </c>
      <c r="U151" s="316">
        <v>10</v>
      </c>
      <c r="Y151" s="179">
        <v>44804</v>
      </c>
      <c r="Z151">
        <v>464</v>
      </c>
      <c r="AA151" s="316">
        <v>13</v>
      </c>
    </row>
    <row r="152" spans="1:28">
      <c r="A152" s="249">
        <v>44659</v>
      </c>
      <c r="B152" s="250">
        <v>102</v>
      </c>
      <c r="C152" s="251">
        <v>12.5</v>
      </c>
      <c r="F152" s="182">
        <v>44695</v>
      </c>
      <c r="G152" s="183">
        <v>164</v>
      </c>
      <c r="H152" s="191">
        <v>25</v>
      </c>
      <c r="L152" s="185"/>
      <c r="M152" s="220"/>
      <c r="S152" s="180">
        <v>44762</v>
      </c>
      <c r="T152">
        <v>236</v>
      </c>
      <c r="U152" s="316">
        <v>10</v>
      </c>
      <c r="Y152" s="179">
        <v>44804</v>
      </c>
      <c r="Z152">
        <v>465</v>
      </c>
      <c r="AA152" s="316">
        <v>10</v>
      </c>
    </row>
    <row r="153" spans="1:28">
      <c r="A153" s="249">
        <v>44659</v>
      </c>
      <c r="B153" s="250">
        <v>103</v>
      </c>
      <c r="C153" s="251">
        <v>5.05</v>
      </c>
      <c r="F153" s="182">
        <v>44695</v>
      </c>
      <c r="G153" s="183">
        <v>165</v>
      </c>
      <c r="H153" s="191">
        <v>12.45</v>
      </c>
      <c r="L153" s="185"/>
      <c r="M153" s="220"/>
      <c r="S153" s="180">
        <v>44762</v>
      </c>
      <c r="T153">
        <v>237</v>
      </c>
      <c r="U153" s="316">
        <v>8</v>
      </c>
      <c r="Y153" s="179">
        <v>44804</v>
      </c>
      <c r="Z153">
        <v>466</v>
      </c>
      <c r="AA153" s="316">
        <v>11.5</v>
      </c>
    </row>
    <row r="154" spans="1:28">
      <c r="A154" s="249">
        <v>44659</v>
      </c>
      <c r="B154" s="250">
        <v>104</v>
      </c>
      <c r="C154" s="251">
        <v>76.099999999999994</v>
      </c>
      <c r="F154" s="182">
        <v>44695</v>
      </c>
      <c r="G154" s="183">
        <v>166</v>
      </c>
      <c r="H154" s="191">
        <v>2.5499999999999998</v>
      </c>
      <c r="L154" s="185"/>
      <c r="M154" s="220"/>
      <c r="S154" s="180">
        <v>44762</v>
      </c>
      <c r="T154">
        <v>238</v>
      </c>
      <c r="U154" s="316">
        <v>12</v>
      </c>
      <c r="Y154" s="179">
        <v>44804</v>
      </c>
      <c r="Z154">
        <v>467</v>
      </c>
      <c r="AA154" s="316">
        <v>11.5</v>
      </c>
    </row>
    <row r="155" spans="1:28">
      <c r="A155" s="180">
        <v>44660</v>
      </c>
      <c r="B155">
        <v>105</v>
      </c>
      <c r="C155" s="189">
        <v>24.3</v>
      </c>
      <c r="F155" s="267">
        <v>44696</v>
      </c>
      <c r="G155" s="268">
        <v>167</v>
      </c>
      <c r="H155" s="269">
        <v>75.8</v>
      </c>
      <c r="L155" s="185"/>
      <c r="M155" s="220"/>
      <c r="S155" s="180">
        <v>44762</v>
      </c>
      <c r="T155">
        <v>239</v>
      </c>
      <c r="U155" s="316">
        <v>10.5</v>
      </c>
      <c r="Y155" s="179">
        <v>44804</v>
      </c>
      <c r="Z155">
        <v>468</v>
      </c>
      <c r="AA155" s="316">
        <v>10</v>
      </c>
    </row>
    <row r="156" spans="1:28">
      <c r="A156" s="180">
        <v>44660</v>
      </c>
      <c r="B156">
        <v>106</v>
      </c>
      <c r="C156" s="189">
        <v>4.2</v>
      </c>
      <c r="F156" s="267">
        <v>44696</v>
      </c>
      <c r="G156" s="268">
        <v>168</v>
      </c>
      <c r="H156" s="269">
        <v>11.35</v>
      </c>
      <c r="L156" s="185"/>
      <c r="M156" s="220"/>
      <c r="S156" s="180">
        <v>44762</v>
      </c>
      <c r="T156">
        <v>240</v>
      </c>
      <c r="U156" s="316">
        <v>15</v>
      </c>
      <c r="Y156" s="179">
        <v>44804</v>
      </c>
      <c r="Z156">
        <v>469</v>
      </c>
      <c r="AA156" s="316">
        <v>10.5</v>
      </c>
    </row>
    <row r="157" spans="1:28">
      <c r="A157" s="249">
        <v>44661</v>
      </c>
      <c r="B157" s="250">
        <v>107</v>
      </c>
      <c r="C157" s="251">
        <v>101.75</v>
      </c>
      <c r="F157" s="267">
        <v>44696</v>
      </c>
      <c r="G157" s="268">
        <v>169</v>
      </c>
      <c r="H157" s="269">
        <v>8.5</v>
      </c>
      <c r="L157" s="185"/>
      <c r="M157" s="220"/>
      <c r="S157" s="180">
        <v>44762</v>
      </c>
      <c r="T157">
        <v>241</v>
      </c>
      <c r="U157" s="316">
        <v>10</v>
      </c>
      <c r="Y157" s="179">
        <v>44804</v>
      </c>
      <c r="Z157">
        <v>470</v>
      </c>
      <c r="AA157" s="316">
        <v>11.5</v>
      </c>
    </row>
    <row r="158" spans="1:28">
      <c r="A158" s="249">
        <v>44661</v>
      </c>
      <c r="B158" s="250">
        <v>108</v>
      </c>
      <c r="C158" s="251">
        <v>5.4</v>
      </c>
      <c r="F158" s="267">
        <v>44697</v>
      </c>
      <c r="G158" s="268">
        <v>170</v>
      </c>
      <c r="H158" s="269">
        <v>30.5</v>
      </c>
      <c r="L158" s="185"/>
      <c r="M158" s="220"/>
      <c r="S158" s="180">
        <v>44762</v>
      </c>
      <c r="T158">
        <v>242</v>
      </c>
      <c r="U158" s="316">
        <v>10</v>
      </c>
      <c r="Y158" s="179">
        <v>44804</v>
      </c>
      <c r="Z158">
        <v>471</v>
      </c>
      <c r="AA158" s="316">
        <v>10.25</v>
      </c>
    </row>
    <row r="159" spans="1:28">
      <c r="A159" s="180">
        <v>44662</v>
      </c>
      <c r="B159">
        <v>109</v>
      </c>
      <c r="C159" s="189">
        <v>54.25</v>
      </c>
      <c r="F159" s="267">
        <v>44697</v>
      </c>
      <c r="G159" s="268">
        <v>171</v>
      </c>
      <c r="H159" s="269">
        <v>16.75</v>
      </c>
      <c r="L159" s="185"/>
      <c r="M159" s="220"/>
      <c r="S159" s="180">
        <v>44762</v>
      </c>
      <c r="T159">
        <v>243</v>
      </c>
      <c r="U159" s="316">
        <v>10</v>
      </c>
      <c r="Y159" s="179">
        <v>44804</v>
      </c>
      <c r="Z159">
        <v>472</v>
      </c>
      <c r="AA159" s="316">
        <v>10.5</v>
      </c>
    </row>
    <row r="160" spans="1:28">
      <c r="A160" s="180">
        <v>44662</v>
      </c>
      <c r="B160">
        <v>110</v>
      </c>
      <c r="C160" s="189">
        <v>17.45</v>
      </c>
      <c r="F160" s="192">
        <v>44698</v>
      </c>
      <c r="G160" s="193">
        <v>172</v>
      </c>
      <c r="H160" s="194">
        <v>21.95</v>
      </c>
      <c r="L160" s="185"/>
      <c r="M160" s="220"/>
      <c r="S160" s="180">
        <v>44762</v>
      </c>
      <c r="T160">
        <v>244</v>
      </c>
      <c r="U160" s="316">
        <v>10</v>
      </c>
      <c r="Y160" s="179">
        <v>44804</v>
      </c>
      <c r="Z160">
        <v>473</v>
      </c>
      <c r="AA160" s="316">
        <v>12</v>
      </c>
    </row>
    <row r="161" spans="1:28">
      <c r="A161" s="252">
        <v>44663</v>
      </c>
      <c r="B161" s="253">
        <v>111</v>
      </c>
      <c r="C161" s="254">
        <v>31.25</v>
      </c>
      <c r="F161" s="192">
        <v>44698</v>
      </c>
      <c r="G161" s="193">
        <v>173</v>
      </c>
      <c r="H161" s="194">
        <v>6.4</v>
      </c>
      <c r="L161" s="185"/>
      <c r="M161" s="220"/>
      <c r="S161" s="180">
        <v>44762</v>
      </c>
      <c r="T161">
        <v>245</v>
      </c>
      <c r="U161" s="316">
        <v>12</v>
      </c>
      <c r="Y161" s="179">
        <v>44804</v>
      </c>
      <c r="Z161">
        <v>474</v>
      </c>
      <c r="AA161" s="316">
        <v>10.25</v>
      </c>
    </row>
    <row r="162" spans="1:28">
      <c r="A162" s="252">
        <v>44663</v>
      </c>
      <c r="B162" s="253">
        <v>112</v>
      </c>
      <c r="C162" s="254">
        <v>14.75</v>
      </c>
      <c r="F162" s="192">
        <v>44698</v>
      </c>
      <c r="G162" s="193">
        <v>174</v>
      </c>
      <c r="H162" s="194">
        <v>3.1</v>
      </c>
      <c r="L162" s="185"/>
      <c r="M162" s="220"/>
      <c r="S162" s="180">
        <v>44762</v>
      </c>
      <c r="T162">
        <v>246</v>
      </c>
      <c r="U162" s="316">
        <v>10.5</v>
      </c>
      <c r="Y162" s="179">
        <v>44804</v>
      </c>
      <c r="Z162">
        <v>475</v>
      </c>
      <c r="AA162" s="316">
        <v>11.5</v>
      </c>
    </row>
    <row r="163" spans="1:28">
      <c r="A163" s="252">
        <v>44663</v>
      </c>
      <c r="B163" s="253">
        <v>113</v>
      </c>
      <c r="C163" s="254">
        <v>45</v>
      </c>
      <c r="F163" s="192">
        <v>44699</v>
      </c>
      <c r="G163" s="193">
        <v>175</v>
      </c>
      <c r="H163" s="194">
        <v>8.3000000000000007</v>
      </c>
      <c r="L163" s="185"/>
      <c r="M163" s="220"/>
      <c r="S163" s="180">
        <v>44762</v>
      </c>
      <c r="T163">
        <v>247</v>
      </c>
      <c r="U163" s="316">
        <v>10</v>
      </c>
      <c r="Y163" s="179">
        <v>44804</v>
      </c>
      <c r="Z163">
        <v>476</v>
      </c>
      <c r="AA163" s="316">
        <v>10</v>
      </c>
    </row>
    <row r="164" spans="1:28">
      <c r="A164" s="180">
        <v>44664</v>
      </c>
      <c r="B164">
        <v>114</v>
      </c>
      <c r="C164" s="189">
        <v>14.3</v>
      </c>
      <c r="F164" s="192">
        <v>44699</v>
      </c>
      <c r="G164" s="193">
        <v>176</v>
      </c>
      <c r="H164" s="194">
        <v>3.9</v>
      </c>
      <c r="L164" s="185"/>
      <c r="M164" s="220"/>
      <c r="S164" s="180">
        <v>44762</v>
      </c>
      <c r="T164">
        <v>248</v>
      </c>
      <c r="U164" s="316">
        <v>10.5</v>
      </c>
      <c r="V164" s="28">
        <f>SUM(U148:U164)</f>
        <v>181</v>
      </c>
      <c r="Y164" s="179">
        <v>44804</v>
      </c>
      <c r="Z164">
        <v>477</v>
      </c>
      <c r="AA164" s="316">
        <v>11.75</v>
      </c>
    </row>
    <row r="165" spans="1:28">
      <c r="A165" s="252">
        <v>44665</v>
      </c>
      <c r="B165" s="253">
        <v>115</v>
      </c>
      <c r="C165" s="254">
        <v>68</v>
      </c>
      <c r="F165" s="273">
        <v>44700</v>
      </c>
      <c r="G165" s="274">
        <v>177</v>
      </c>
      <c r="H165" s="275">
        <v>22.35</v>
      </c>
      <c r="L165" s="185"/>
      <c r="M165" s="220"/>
      <c r="S165" s="322">
        <v>44764</v>
      </c>
      <c r="T165" s="323">
        <v>249</v>
      </c>
      <c r="U165" s="324">
        <v>13</v>
      </c>
      <c r="Y165" s="179">
        <v>44804</v>
      </c>
      <c r="Z165">
        <v>478</v>
      </c>
      <c r="AA165" s="316">
        <v>11</v>
      </c>
    </row>
    <row r="166" spans="1:28">
      <c r="A166" s="252">
        <v>44665</v>
      </c>
      <c r="B166" s="253">
        <v>116</v>
      </c>
      <c r="C166" s="254">
        <v>4</v>
      </c>
      <c r="F166" s="273">
        <v>44700</v>
      </c>
      <c r="G166" s="274">
        <v>178</v>
      </c>
      <c r="H166" s="275">
        <v>8.25</v>
      </c>
      <c r="L166" s="185"/>
      <c r="M166" s="220"/>
      <c r="S166" s="322">
        <v>44764</v>
      </c>
      <c r="T166" s="323">
        <v>250</v>
      </c>
      <c r="U166" s="324">
        <v>12</v>
      </c>
      <c r="Y166" s="179">
        <v>44804</v>
      </c>
      <c r="Z166">
        <v>479</v>
      </c>
      <c r="AA166" s="316">
        <v>12</v>
      </c>
    </row>
    <row r="167" spans="1:28">
      <c r="A167" s="252">
        <v>44665</v>
      </c>
      <c r="B167" s="253">
        <v>117</v>
      </c>
      <c r="C167" s="254">
        <v>25.5</v>
      </c>
      <c r="F167" s="273">
        <v>44701</v>
      </c>
      <c r="G167" s="274">
        <v>179</v>
      </c>
      <c r="H167" s="275">
        <v>6.75</v>
      </c>
      <c r="L167" s="185"/>
      <c r="M167" s="220"/>
      <c r="S167" s="322">
        <v>44764</v>
      </c>
      <c r="T167" s="323">
        <v>251</v>
      </c>
      <c r="U167" s="324">
        <v>10</v>
      </c>
      <c r="Y167" s="179">
        <v>44804</v>
      </c>
      <c r="Z167">
        <v>480</v>
      </c>
      <c r="AA167" s="316">
        <v>12.75</v>
      </c>
    </row>
    <row r="168" spans="1:28">
      <c r="A168" s="180">
        <v>44669</v>
      </c>
      <c r="B168">
        <v>118</v>
      </c>
      <c r="C168" s="189">
        <v>6.6</v>
      </c>
      <c r="F168" s="192">
        <v>44702</v>
      </c>
      <c r="G168" s="193">
        <v>180</v>
      </c>
      <c r="H168" s="194">
        <v>36.25</v>
      </c>
      <c r="L168" s="185"/>
      <c r="M168" s="220"/>
      <c r="S168" s="322">
        <v>44764</v>
      </c>
      <c r="T168" s="323">
        <v>252</v>
      </c>
      <c r="U168" s="324">
        <v>10</v>
      </c>
      <c r="Y168" s="179">
        <v>44804</v>
      </c>
      <c r="Z168">
        <v>481</v>
      </c>
      <c r="AA168" s="316">
        <v>12</v>
      </c>
    </row>
    <row r="169" spans="1:28">
      <c r="A169" s="180">
        <v>44669</v>
      </c>
      <c r="B169">
        <v>119</v>
      </c>
      <c r="C169" s="189">
        <v>2.6</v>
      </c>
      <c r="F169" s="192">
        <v>44702</v>
      </c>
      <c r="G169" s="193">
        <v>181</v>
      </c>
      <c r="H169" s="194">
        <v>20.100000000000001</v>
      </c>
      <c r="L169" s="185"/>
      <c r="M169" s="220"/>
      <c r="S169" s="322">
        <v>44764</v>
      </c>
      <c r="T169" s="323">
        <v>253</v>
      </c>
      <c r="U169" s="324">
        <v>10</v>
      </c>
      <c r="Y169" s="179">
        <v>44804</v>
      </c>
      <c r="Z169">
        <v>482</v>
      </c>
      <c r="AA169" s="316">
        <v>10.5</v>
      </c>
      <c r="AB169" s="28">
        <f>SUM(AA150:AA169)</f>
        <v>224.5</v>
      </c>
    </row>
    <row r="170" spans="1:28">
      <c r="A170" s="180"/>
      <c r="C170" s="189"/>
      <c r="F170" s="192"/>
      <c r="G170" s="193"/>
      <c r="H170" s="194"/>
      <c r="L170" s="185"/>
      <c r="M170" s="220"/>
      <c r="S170" s="322"/>
      <c r="T170" s="323"/>
      <c r="U170" s="324"/>
      <c r="Y170" s="179"/>
      <c r="AA170" s="316">
        <f>SUM(AA1:AA169)</f>
        <v>1874.5</v>
      </c>
      <c r="AB170" s="28"/>
    </row>
    <row r="171" spans="1:28">
      <c r="A171" s="180"/>
      <c r="C171" s="189"/>
      <c r="F171" s="192"/>
      <c r="G171" s="193"/>
      <c r="H171" s="194"/>
      <c r="L171" s="185"/>
      <c r="M171" s="220"/>
      <c r="S171" s="322"/>
      <c r="T171" s="323"/>
      <c r="U171" s="324"/>
      <c r="Y171" s="179"/>
      <c r="AA171" s="316"/>
      <c r="AB171" s="28"/>
    </row>
    <row r="172" spans="1:28">
      <c r="A172" s="180"/>
      <c r="C172" s="189"/>
      <c r="F172" s="192"/>
      <c r="G172" s="193"/>
      <c r="H172" s="194"/>
      <c r="L172" s="185"/>
      <c r="M172" s="220"/>
      <c r="S172" s="322"/>
      <c r="T172" s="323"/>
      <c r="U172" s="324"/>
      <c r="Y172" s="179"/>
      <c r="AA172" s="316"/>
      <c r="AB172" s="28"/>
    </row>
    <row r="173" spans="1:28">
      <c r="A173" s="180"/>
      <c r="C173" s="189"/>
      <c r="F173" s="192"/>
      <c r="G173" s="193"/>
      <c r="H173" s="194"/>
      <c r="L173" s="185"/>
      <c r="M173" s="220"/>
      <c r="S173" s="322"/>
      <c r="T173" s="323"/>
      <c r="U173" s="324"/>
      <c r="Y173" s="179"/>
      <c r="AA173" s="316"/>
      <c r="AB173" s="28"/>
    </row>
    <row r="174" spans="1:28">
      <c r="A174" s="180">
        <v>44670</v>
      </c>
      <c r="B174">
        <v>120</v>
      </c>
      <c r="C174" s="189">
        <v>13.5</v>
      </c>
      <c r="F174" s="192">
        <v>44703</v>
      </c>
      <c r="G174" s="193">
        <v>182</v>
      </c>
      <c r="H174" s="194">
        <v>2.9</v>
      </c>
      <c r="L174" s="185"/>
      <c r="M174" s="220"/>
      <c r="S174" s="322">
        <v>44764</v>
      </c>
      <c r="T174" s="323">
        <v>254</v>
      </c>
      <c r="U174" s="324">
        <v>10</v>
      </c>
      <c r="AA174" s="316"/>
    </row>
    <row r="175" spans="1:28">
      <c r="A175" s="252">
        <v>44671</v>
      </c>
      <c r="B175" s="253">
        <v>121</v>
      </c>
      <c r="C175" s="254">
        <v>14.5</v>
      </c>
      <c r="F175" s="273">
        <v>44704</v>
      </c>
      <c r="G175" s="274">
        <v>183</v>
      </c>
      <c r="H175" s="275">
        <v>30.75</v>
      </c>
      <c r="L175" s="185"/>
      <c r="M175" s="220"/>
      <c r="S175" s="322">
        <v>44764</v>
      </c>
      <c r="T175" s="323">
        <v>255</v>
      </c>
      <c r="U175" s="324">
        <v>12</v>
      </c>
      <c r="Y175" s="180">
        <v>44774</v>
      </c>
      <c r="Z175" s="181">
        <v>309</v>
      </c>
      <c r="AA175" s="316">
        <v>31.5</v>
      </c>
    </row>
    <row r="176" spans="1:28">
      <c r="A176" s="252">
        <v>44671</v>
      </c>
      <c r="B176" s="253">
        <v>122</v>
      </c>
      <c r="C176" s="254">
        <v>6.55</v>
      </c>
      <c r="F176" s="273">
        <v>44704</v>
      </c>
      <c r="G176" s="274">
        <v>184</v>
      </c>
      <c r="H176" s="275">
        <v>6.2</v>
      </c>
      <c r="L176" s="185"/>
      <c r="M176" s="220"/>
      <c r="S176" s="322">
        <v>44764</v>
      </c>
      <c r="T176" s="323">
        <v>256</v>
      </c>
      <c r="U176" s="324">
        <v>10.25</v>
      </c>
      <c r="Y176" s="180">
        <v>44774</v>
      </c>
      <c r="Z176" s="181">
        <v>310</v>
      </c>
      <c r="AA176" s="316">
        <v>3.5</v>
      </c>
      <c r="AB176" s="28">
        <f>AA175+AA176</f>
        <v>35</v>
      </c>
    </row>
    <row r="177" spans="1:28">
      <c r="A177" s="180">
        <v>44672</v>
      </c>
      <c r="B177">
        <v>123</v>
      </c>
      <c r="C177" s="189">
        <v>34.75</v>
      </c>
      <c r="F177" s="273">
        <v>44705</v>
      </c>
      <c r="G177" s="274">
        <v>185</v>
      </c>
      <c r="H177" s="275">
        <v>15</v>
      </c>
      <c r="L177" s="185"/>
      <c r="M177" s="220"/>
      <c r="S177" s="322">
        <v>44764</v>
      </c>
      <c r="T177" s="323">
        <v>257</v>
      </c>
      <c r="U177" s="324">
        <v>10.5</v>
      </c>
      <c r="Y177" s="192">
        <v>44775</v>
      </c>
      <c r="Z177" s="193">
        <v>311</v>
      </c>
      <c r="AA177" s="194">
        <v>24.75</v>
      </c>
    </row>
    <row r="178" spans="1:28">
      <c r="A178" s="180">
        <v>44672</v>
      </c>
      <c r="B178">
        <v>124</v>
      </c>
      <c r="C178" s="189">
        <v>6.25</v>
      </c>
      <c r="F178" s="276">
        <v>44706</v>
      </c>
      <c r="G178" s="277">
        <v>186</v>
      </c>
      <c r="H178" s="278">
        <v>14.75</v>
      </c>
      <c r="L178" s="185"/>
      <c r="M178" s="220"/>
      <c r="S178" s="322">
        <v>44764</v>
      </c>
      <c r="T178" s="323">
        <v>258</v>
      </c>
      <c r="U178" s="324">
        <v>10.5</v>
      </c>
      <c r="Y178" s="192">
        <v>44775</v>
      </c>
      <c r="Z178" s="193">
        <v>312</v>
      </c>
      <c r="AA178" s="194">
        <v>9.85</v>
      </c>
      <c r="AB178" s="28">
        <f>AA177+AA178</f>
        <v>34.6</v>
      </c>
    </row>
    <row r="179" spans="1:28">
      <c r="A179" s="252">
        <v>44673</v>
      </c>
      <c r="B179" s="253">
        <v>125</v>
      </c>
      <c r="C179" s="254">
        <v>22.5</v>
      </c>
      <c r="F179" s="276">
        <v>44707</v>
      </c>
      <c r="G179" s="277">
        <v>187</v>
      </c>
      <c r="H179" s="278">
        <v>22.5</v>
      </c>
      <c r="L179" s="185"/>
      <c r="M179" s="220"/>
      <c r="S179" s="322">
        <v>44764</v>
      </c>
      <c r="T179" s="323">
        <v>259</v>
      </c>
      <c r="U179" s="324">
        <v>11.75</v>
      </c>
      <c r="Y179" s="179">
        <v>44776</v>
      </c>
      <c r="Z179">
        <v>313</v>
      </c>
      <c r="AA179" s="316">
        <v>19.5</v>
      </c>
    </row>
    <row r="180" spans="1:28">
      <c r="A180" s="252">
        <v>44673</v>
      </c>
      <c r="B180" s="253">
        <v>126</v>
      </c>
      <c r="C180" s="254">
        <v>2</v>
      </c>
      <c r="F180" s="276">
        <v>44707</v>
      </c>
      <c r="G180" s="277">
        <v>188</v>
      </c>
      <c r="H180" s="278">
        <v>5.35</v>
      </c>
      <c r="L180" s="185"/>
      <c r="M180" s="220"/>
      <c r="S180" s="322">
        <v>44764</v>
      </c>
      <c r="T180" s="323">
        <v>260</v>
      </c>
      <c r="U180" s="324">
        <v>10.5</v>
      </c>
      <c r="Y180" s="179">
        <v>44776</v>
      </c>
      <c r="Z180">
        <v>314</v>
      </c>
      <c r="AA180" s="316">
        <v>8.8000000000000007</v>
      </c>
      <c r="AB180" s="28">
        <f>AA179+AA180</f>
        <v>28.3</v>
      </c>
    </row>
    <row r="181" spans="1:28">
      <c r="A181" s="180">
        <v>44674</v>
      </c>
      <c r="B181">
        <v>127</v>
      </c>
      <c r="C181" s="189">
        <v>11.75</v>
      </c>
      <c r="F181" s="279">
        <v>44708</v>
      </c>
      <c r="G181" s="280">
        <v>189</v>
      </c>
      <c r="H181" s="281">
        <v>35.25</v>
      </c>
      <c r="L181" s="185"/>
      <c r="M181" s="220"/>
      <c r="S181" s="322">
        <v>44764</v>
      </c>
      <c r="T181" s="323">
        <v>261</v>
      </c>
      <c r="U181" s="324">
        <v>11</v>
      </c>
      <c r="Y181" s="192">
        <v>44777</v>
      </c>
      <c r="Z181" s="193">
        <v>315</v>
      </c>
      <c r="AA181" s="194">
        <v>5</v>
      </c>
    </row>
    <row r="182" spans="1:28">
      <c r="A182" s="180">
        <v>44674</v>
      </c>
      <c r="B182">
        <v>128</v>
      </c>
      <c r="C182" s="189">
        <v>2.4</v>
      </c>
      <c r="F182" s="279">
        <v>44709</v>
      </c>
      <c r="G182" s="280">
        <v>190</v>
      </c>
      <c r="H182" s="281">
        <v>36</v>
      </c>
      <c r="L182" s="185"/>
      <c r="M182" s="220"/>
      <c r="S182" s="322">
        <v>44764</v>
      </c>
      <c r="T182" s="323">
        <v>262</v>
      </c>
      <c r="U182" s="324">
        <v>10.25</v>
      </c>
      <c r="Y182" s="192">
        <v>44778</v>
      </c>
      <c r="Z182" s="193">
        <v>316</v>
      </c>
      <c r="AA182" s="194">
        <v>10</v>
      </c>
    </row>
    <row r="183" spans="1:28">
      <c r="A183" s="252">
        <v>44675</v>
      </c>
      <c r="B183" s="253">
        <v>129</v>
      </c>
      <c r="C183" s="254">
        <v>75</v>
      </c>
      <c r="F183" s="279">
        <v>44710</v>
      </c>
      <c r="G183" s="280">
        <v>191</v>
      </c>
      <c r="H183" s="281">
        <v>16.25</v>
      </c>
      <c r="L183" s="185"/>
      <c r="M183" s="220"/>
      <c r="S183" s="322">
        <v>44764</v>
      </c>
      <c r="T183" s="323">
        <v>263</v>
      </c>
      <c r="U183" s="324">
        <v>12</v>
      </c>
      <c r="Y183" s="192">
        <v>44778</v>
      </c>
      <c r="Z183" s="193">
        <v>317</v>
      </c>
      <c r="AA183" s="194">
        <v>3</v>
      </c>
      <c r="AB183" s="28">
        <f>SUM(AA181:AA183)</f>
        <v>18</v>
      </c>
    </row>
    <row r="184" spans="1:28">
      <c r="A184" s="252">
        <v>44675</v>
      </c>
      <c r="B184" s="253">
        <v>130</v>
      </c>
      <c r="C184" s="254">
        <v>8.3000000000000007</v>
      </c>
      <c r="F184" s="279">
        <v>44710</v>
      </c>
      <c r="G184" s="280">
        <v>192</v>
      </c>
      <c r="H184" s="281">
        <v>8.6</v>
      </c>
      <c r="L184" s="185"/>
      <c r="M184" s="220"/>
      <c r="S184" s="322">
        <v>44764</v>
      </c>
      <c r="T184" s="323">
        <v>264</v>
      </c>
      <c r="U184" s="324">
        <v>12.75</v>
      </c>
      <c r="Y184" s="179">
        <v>44781</v>
      </c>
      <c r="Z184">
        <v>318</v>
      </c>
      <c r="AA184" s="316">
        <v>39.5</v>
      </c>
    </row>
    <row r="185" spans="1:28">
      <c r="A185" s="252">
        <v>44675</v>
      </c>
      <c r="B185" s="253">
        <v>131</v>
      </c>
      <c r="C185" s="254">
        <v>31</v>
      </c>
      <c r="F185" s="179">
        <v>44711</v>
      </c>
      <c r="G185">
        <v>193</v>
      </c>
      <c r="H185" s="189">
        <v>24</v>
      </c>
      <c r="L185" s="185"/>
      <c r="M185" s="220"/>
      <c r="S185" s="322">
        <v>44764</v>
      </c>
      <c r="T185" s="323">
        <v>265</v>
      </c>
      <c r="U185" s="324">
        <v>10.5</v>
      </c>
      <c r="Y185" s="179">
        <v>44782</v>
      </c>
      <c r="Z185">
        <v>319</v>
      </c>
      <c r="AA185" s="316">
        <v>52.5</v>
      </c>
    </row>
    <row r="186" spans="1:28">
      <c r="A186" s="180">
        <v>44676</v>
      </c>
      <c r="B186">
        <v>132</v>
      </c>
      <c r="C186" s="189">
        <v>7.2</v>
      </c>
      <c r="F186" s="179">
        <v>44711</v>
      </c>
      <c r="G186">
        <v>194</v>
      </c>
      <c r="H186" s="189">
        <v>4.25</v>
      </c>
      <c r="L186" s="185"/>
      <c r="M186" s="220"/>
      <c r="S186" s="322">
        <v>44764</v>
      </c>
      <c r="T186" s="323">
        <v>266</v>
      </c>
      <c r="U186" s="324">
        <v>12</v>
      </c>
      <c r="Y186" s="179">
        <v>44782</v>
      </c>
      <c r="Z186">
        <v>320</v>
      </c>
      <c r="AA186" s="316">
        <v>8.5</v>
      </c>
      <c r="AB186" s="28">
        <f>AA185+AA186</f>
        <v>61</v>
      </c>
    </row>
    <row r="187" spans="1:28">
      <c r="A187" s="252">
        <v>44677</v>
      </c>
      <c r="B187" s="253">
        <v>133</v>
      </c>
      <c r="C187" s="254">
        <v>34.25</v>
      </c>
      <c r="F187" s="179">
        <v>44711</v>
      </c>
      <c r="G187">
        <v>195</v>
      </c>
      <c r="H187" s="189">
        <v>29.5</v>
      </c>
      <c r="L187" s="185"/>
      <c r="M187" s="220"/>
      <c r="S187" s="322">
        <v>44764</v>
      </c>
      <c r="T187" s="323">
        <v>267</v>
      </c>
      <c r="U187" s="324">
        <v>12</v>
      </c>
      <c r="V187" s="28">
        <f>SUM(U165:U187)</f>
        <v>211</v>
      </c>
      <c r="Y187" s="179">
        <v>44783</v>
      </c>
      <c r="Z187">
        <v>321</v>
      </c>
      <c r="AA187" s="316">
        <v>9.5</v>
      </c>
    </row>
    <row r="188" spans="1:28">
      <c r="A188" s="252">
        <v>44677</v>
      </c>
      <c r="B188" s="253">
        <v>134</v>
      </c>
      <c r="C188" s="254">
        <v>4.7</v>
      </c>
      <c r="S188" s="319">
        <v>44769</v>
      </c>
      <c r="T188" s="193">
        <v>268</v>
      </c>
      <c r="U188" s="194">
        <v>12</v>
      </c>
      <c r="Y188" s="179">
        <v>44783</v>
      </c>
      <c r="Z188">
        <v>322</v>
      </c>
      <c r="AA188" s="316">
        <v>6</v>
      </c>
      <c r="AB188" s="28">
        <f>AA187+AA188</f>
        <v>15.5</v>
      </c>
    </row>
    <row r="189" spans="1:28">
      <c r="A189" s="180">
        <v>44678</v>
      </c>
      <c r="B189">
        <v>135</v>
      </c>
      <c r="C189" s="189">
        <v>11</v>
      </c>
      <c r="H189" s="28">
        <f>SUM(H1:H188)</f>
        <v>2313.6999999999998</v>
      </c>
      <c r="S189" s="319">
        <v>44769</v>
      </c>
      <c r="T189" s="193">
        <v>269</v>
      </c>
      <c r="U189" s="194">
        <v>12</v>
      </c>
      <c r="Y189" s="179">
        <v>44784</v>
      </c>
      <c r="Z189">
        <v>323</v>
      </c>
      <c r="AA189" s="316">
        <v>6.25</v>
      </c>
    </row>
    <row r="190" spans="1:28">
      <c r="A190" s="252">
        <v>44679</v>
      </c>
      <c r="B190" s="253">
        <v>136</v>
      </c>
      <c r="C190" s="254">
        <v>18.95</v>
      </c>
      <c r="S190" s="319">
        <v>44769</v>
      </c>
      <c r="T190" s="193">
        <v>270</v>
      </c>
      <c r="U190" s="194">
        <v>11</v>
      </c>
      <c r="Y190" s="192">
        <v>44785</v>
      </c>
      <c r="Z190" s="193">
        <v>324</v>
      </c>
      <c r="AA190" s="194">
        <v>15.25</v>
      </c>
    </row>
    <row r="191" spans="1:28">
      <c r="A191" s="252">
        <v>44679</v>
      </c>
      <c r="B191" s="253">
        <v>137</v>
      </c>
      <c r="C191" s="254">
        <v>9</v>
      </c>
      <c r="S191" s="319">
        <v>44769</v>
      </c>
      <c r="T191" s="193">
        <v>271</v>
      </c>
      <c r="U191" s="194">
        <v>10</v>
      </c>
      <c r="Y191" s="192">
        <v>44785</v>
      </c>
      <c r="Z191" s="193">
        <v>325</v>
      </c>
      <c r="AA191" s="194">
        <v>18.5</v>
      </c>
      <c r="AB191" s="28">
        <f>AA190+AA191</f>
        <v>33.75</v>
      </c>
    </row>
    <row r="192" spans="1:28">
      <c r="A192" s="180">
        <v>44680</v>
      </c>
      <c r="B192">
        <v>138</v>
      </c>
      <c r="C192" s="189">
        <v>13.35</v>
      </c>
      <c r="S192" s="319">
        <v>44769</v>
      </c>
      <c r="T192" s="193">
        <v>272</v>
      </c>
      <c r="U192" s="194">
        <v>10.75</v>
      </c>
      <c r="Y192" s="179">
        <v>44786</v>
      </c>
      <c r="Z192">
        <v>326</v>
      </c>
      <c r="AA192" s="316">
        <v>36.1</v>
      </c>
    </row>
    <row r="193" spans="1:28">
      <c r="A193" s="180">
        <v>44681</v>
      </c>
      <c r="B193">
        <v>139</v>
      </c>
      <c r="C193" s="189">
        <v>76.5</v>
      </c>
      <c r="S193" s="319">
        <v>44769</v>
      </c>
      <c r="T193" s="193">
        <v>273</v>
      </c>
      <c r="U193" s="194">
        <v>12</v>
      </c>
      <c r="Y193" s="192">
        <v>44787</v>
      </c>
      <c r="Z193" s="193">
        <v>327</v>
      </c>
      <c r="AA193" s="194">
        <v>12</v>
      </c>
    </row>
    <row r="194" spans="1:28">
      <c r="A194" s="180">
        <v>44681</v>
      </c>
      <c r="B194">
        <v>140</v>
      </c>
      <c r="C194" s="189">
        <v>56.2</v>
      </c>
      <c r="S194" s="319">
        <v>44769</v>
      </c>
      <c r="T194" s="193">
        <v>274</v>
      </c>
      <c r="U194" s="194">
        <v>12</v>
      </c>
      <c r="Y194" s="192">
        <v>44787</v>
      </c>
      <c r="Z194" s="193">
        <v>328</v>
      </c>
      <c r="AA194" s="194">
        <v>3</v>
      </c>
      <c r="AB194" s="28">
        <f>AA193+AA194</f>
        <v>15</v>
      </c>
    </row>
    <row r="195" spans="1:28">
      <c r="S195" s="319">
        <v>44769</v>
      </c>
      <c r="T195" s="193">
        <v>275</v>
      </c>
      <c r="U195" s="194">
        <v>11.5</v>
      </c>
      <c r="Y195" s="179">
        <v>44788</v>
      </c>
      <c r="Z195">
        <v>329</v>
      </c>
      <c r="AA195" s="316">
        <v>21.75</v>
      </c>
    </row>
    <row r="196" spans="1:28">
      <c r="C196" s="247">
        <f>SUM(C138:C195)</f>
        <v>1201.45</v>
      </c>
      <c r="S196" s="319">
        <v>44769</v>
      </c>
      <c r="T196" s="193">
        <v>276</v>
      </c>
      <c r="U196" s="194">
        <v>12.5</v>
      </c>
      <c r="Y196" s="179">
        <v>44788</v>
      </c>
      <c r="Z196">
        <v>330</v>
      </c>
      <c r="AA196" s="316">
        <v>9.8000000000000007</v>
      </c>
      <c r="AB196" s="28">
        <f>AA195+AA196</f>
        <v>31.55</v>
      </c>
    </row>
    <row r="197" spans="1:28">
      <c r="S197" s="319">
        <v>44769</v>
      </c>
      <c r="T197" s="193">
        <v>277</v>
      </c>
      <c r="U197" s="194">
        <v>10</v>
      </c>
      <c r="Y197" s="192">
        <v>44789</v>
      </c>
      <c r="Z197" s="193">
        <v>331</v>
      </c>
      <c r="AA197" s="194">
        <v>23</v>
      </c>
    </row>
    <row r="198" spans="1:28">
      <c r="S198" s="319">
        <v>44769</v>
      </c>
      <c r="T198" s="193">
        <v>278</v>
      </c>
      <c r="U198" s="194">
        <v>10</v>
      </c>
      <c r="Y198" s="192">
        <v>44789</v>
      </c>
      <c r="Z198" s="193">
        <v>332</v>
      </c>
      <c r="AA198" s="194">
        <v>8</v>
      </c>
      <c r="AB198" s="28">
        <f>AA197+AA198</f>
        <v>31</v>
      </c>
    </row>
    <row r="199" spans="1:28">
      <c r="S199" s="319">
        <v>44769</v>
      </c>
      <c r="T199" s="193">
        <v>279</v>
      </c>
      <c r="U199" s="194">
        <v>12</v>
      </c>
      <c r="Y199" s="319">
        <v>44790</v>
      </c>
      <c r="Z199" s="333">
        <v>333</v>
      </c>
      <c r="AA199" s="287">
        <v>26.75</v>
      </c>
    </row>
    <row r="200" spans="1:28">
      <c r="C200" s="28">
        <f>C133+C196</f>
        <v>2656.45</v>
      </c>
      <c r="S200" s="319">
        <v>44769</v>
      </c>
      <c r="T200" s="193">
        <v>280</v>
      </c>
      <c r="U200" s="194">
        <v>10.75</v>
      </c>
      <c r="Y200" s="319">
        <v>44790</v>
      </c>
      <c r="Z200" s="333">
        <v>334</v>
      </c>
      <c r="AA200" s="287">
        <v>7.7</v>
      </c>
    </row>
    <row r="201" spans="1:28">
      <c r="S201" s="319">
        <v>44769</v>
      </c>
      <c r="T201" s="193">
        <v>281</v>
      </c>
      <c r="U201" s="194">
        <v>10.5</v>
      </c>
      <c r="Y201" s="319">
        <v>44790</v>
      </c>
      <c r="Z201" s="333">
        <v>335</v>
      </c>
      <c r="AA201" s="287">
        <v>6.25</v>
      </c>
      <c r="AB201" s="28">
        <f>SUM(AA199:AA201)</f>
        <v>40.700000000000003</v>
      </c>
    </row>
    <row r="202" spans="1:28">
      <c r="S202" s="319">
        <v>44769</v>
      </c>
      <c r="T202" s="193">
        <v>282</v>
      </c>
      <c r="U202" s="194">
        <v>10.5</v>
      </c>
      <c r="Y202" s="334">
        <v>44791</v>
      </c>
      <c r="Z202" s="335">
        <v>336</v>
      </c>
      <c r="AA202" s="336">
        <v>28.5</v>
      </c>
    </row>
    <row r="203" spans="1:28">
      <c r="S203" s="319">
        <v>44769</v>
      </c>
      <c r="T203" s="193">
        <v>283</v>
      </c>
      <c r="U203" s="194">
        <v>11.5</v>
      </c>
      <c r="Y203" s="334">
        <v>44791</v>
      </c>
      <c r="Z203" s="335">
        <v>337</v>
      </c>
      <c r="AA203" s="336">
        <v>7</v>
      </c>
    </row>
    <row r="204" spans="1:28">
      <c r="S204" s="319">
        <v>44769</v>
      </c>
      <c r="T204" s="193">
        <v>284</v>
      </c>
      <c r="U204" s="194">
        <v>10.5</v>
      </c>
      <c r="Y204" s="334">
        <v>44792</v>
      </c>
      <c r="Z204" s="335">
        <v>338</v>
      </c>
      <c r="AA204" s="336">
        <v>17.5</v>
      </c>
    </row>
    <row r="205" spans="1:28">
      <c r="S205" s="319">
        <v>44769</v>
      </c>
      <c r="T205" s="193">
        <v>285</v>
      </c>
      <c r="U205" s="194">
        <v>12</v>
      </c>
      <c r="Y205" s="334">
        <v>44791</v>
      </c>
      <c r="Z205" s="335">
        <v>339</v>
      </c>
      <c r="AA205" s="336">
        <v>5.25</v>
      </c>
      <c r="AB205" s="28">
        <f>SUM(AA202:AA205)</f>
        <v>58.25</v>
      </c>
    </row>
    <row r="206" spans="1:28">
      <c r="A206" s="179">
        <v>44839</v>
      </c>
      <c r="B206">
        <v>692</v>
      </c>
      <c r="C206" s="316">
        <v>12</v>
      </c>
      <c r="E206" s="179">
        <v>44835</v>
      </c>
      <c r="F206">
        <v>427</v>
      </c>
      <c r="G206" s="316">
        <v>41.25</v>
      </c>
      <c r="S206" s="319">
        <v>44769</v>
      </c>
      <c r="T206" s="193">
        <v>286</v>
      </c>
      <c r="U206" s="194">
        <v>12</v>
      </c>
      <c r="Y206" s="337">
        <v>44793</v>
      </c>
      <c r="Z206" s="338">
        <v>340</v>
      </c>
      <c r="AA206" s="339">
        <v>17</v>
      </c>
    </row>
    <row r="207" spans="1:28">
      <c r="A207" s="179">
        <v>44839</v>
      </c>
      <c r="B207">
        <v>693</v>
      </c>
      <c r="C207" s="316">
        <v>12</v>
      </c>
      <c r="E207" s="179">
        <v>44835</v>
      </c>
      <c r="F207">
        <v>428</v>
      </c>
      <c r="G207" s="316">
        <v>12.5</v>
      </c>
      <c r="H207" s="28">
        <f>G206+G207</f>
        <v>53.75</v>
      </c>
      <c r="S207" s="319">
        <v>44769</v>
      </c>
      <c r="T207" s="193">
        <v>287</v>
      </c>
      <c r="U207" s="194">
        <v>12</v>
      </c>
      <c r="Y207" s="337">
        <v>44793</v>
      </c>
      <c r="Z207" s="338">
        <v>341</v>
      </c>
      <c r="AA207" s="339">
        <v>9.75</v>
      </c>
    </row>
    <row r="208" spans="1:28">
      <c r="A208" s="179">
        <v>44839</v>
      </c>
      <c r="B208">
        <v>694</v>
      </c>
      <c r="C208" s="316">
        <v>11</v>
      </c>
      <c r="E208" s="179">
        <v>44836</v>
      </c>
      <c r="F208">
        <v>429</v>
      </c>
      <c r="G208" s="316">
        <v>16</v>
      </c>
      <c r="S208" s="319">
        <v>44769</v>
      </c>
      <c r="T208" s="193">
        <v>288</v>
      </c>
      <c r="U208" s="194">
        <v>12</v>
      </c>
      <c r="Y208" s="337">
        <v>44793</v>
      </c>
      <c r="Z208" s="338">
        <v>342</v>
      </c>
      <c r="AA208" s="339">
        <v>6.7</v>
      </c>
      <c r="AB208" s="28">
        <f>SUM(AA206:AA208)</f>
        <v>33.450000000000003</v>
      </c>
    </row>
    <row r="209" spans="1:28">
      <c r="A209" s="179">
        <v>44839</v>
      </c>
      <c r="B209">
        <v>695</v>
      </c>
      <c r="C209" s="316">
        <v>11</v>
      </c>
      <c r="E209" s="179">
        <v>44836</v>
      </c>
      <c r="F209">
        <v>430</v>
      </c>
      <c r="G209" s="316">
        <v>3.9</v>
      </c>
      <c r="H209" s="28">
        <f>G208+G209</f>
        <v>19.899999999999999</v>
      </c>
      <c r="S209" s="319">
        <v>44769</v>
      </c>
      <c r="T209" s="193">
        <v>289</v>
      </c>
      <c r="U209" s="194">
        <v>11</v>
      </c>
      <c r="Y209" s="192">
        <v>44794</v>
      </c>
      <c r="Z209" s="193">
        <v>343</v>
      </c>
      <c r="AA209" s="194">
        <v>8</v>
      </c>
    </row>
    <row r="210" spans="1:28">
      <c r="A210" s="179">
        <v>44839</v>
      </c>
      <c r="B210">
        <v>696</v>
      </c>
      <c r="C210" s="316">
        <v>10</v>
      </c>
      <c r="E210" s="179">
        <v>44837</v>
      </c>
      <c r="F210">
        <v>431</v>
      </c>
      <c r="G210" s="316">
        <v>12.75</v>
      </c>
      <c r="S210" s="319">
        <v>44769</v>
      </c>
      <c r="T210" s="193">
        <v>290</v>
      </c>
      <c r="U210" s="194">
        <v>13</v>
      </c>
      <c r="Y210" s="192">
        <v>44794</v>
      </c>
      <c r="Z210" s="193">
        <v>344</v>
      </c>
      <c r="AA210" s="194">
        <v>4.75</v>
      </c>
    </row>
    <row r="211" spans="1:28">
      <c r="A211" s="179">
        <v>44839</v>
      </c>
      <c r="B211">
        <v>697</v>
      </c>
      <c r="C211" s="316">
        <v>10.5</v>
      </c>
      <c r="E211" s="179">
        <v>44837</v>
      </c>
      <c r="F211">
        <v>432</v>
      </c>
      <c r="G211" s="316">
        <v>3.45</v>
      </c>
      <c r="H211" s="28">
        <f>G210+G211</f>
        <v>16.2</v>
      </c>
      <c r="S211" s="319">
        <v>44769</v>
      </c>
      <c r="T211" s="193">
        <v>291</v>
      </c>
      <c r="U211" s="194">
        <v>13</v>
      </c>
      <c r="V211" s="28">
        <f>SUM(U188:U211)</f>
        <v>274.5</v>
      </c>
      <c r="Y211" s="192">
        <v>44795</v>
      </c>
      <c r="Z211" s="193">
        <v>345</v>
      </c>
      <c r="AA211" s="194">
        <v>8.35</v>
      </c>
      <c r="AB211" s="28">
        <f>AA210+AA211+AA209</f>
        <v>21.1</v>
      </c>
    </row>
    <row r="212" spans="1:28">
      <c r="A212" s="179">
        <v>44839</v>
      </c>
      <c r="B212">
        <v>698</v>
      </c>
      <c r="C212" s="316">
        <v>10</v>
      </c>
      <c r="E212" s="179">
        <v>44838</v>
      </c>
      <c r="F212">
        <v>433</v>
      </c>
      <c r="G212" s="316">
        <v>12.5</v>
      </c>
      <c r="S212" s="180">
        <v>44771</v>
      </c>
      <c r="T212">
        <v>292</v>
      </c>
      <c r="U212" s="316">
        <v>12.75</v>
      </c>
      <c r="Y212" s="195">
        <v>44794</v>
      </c>
      <c r="Z212" s="196">
        <v>346</v>
      </c>
      <c r="AA212" s="197">
        <v>3.5</v>
      </c>
    </row>
    <row r="213" spans="1:28">
      <c r="A213" s="179">
        <v>44839</v>
      </c>
      <c r="B213">
        <v>699</v>
      </c>
      <c r="C213" s="316">
        <v>10.25</v>
      </c>
      <c r="E213" s="179">
        <v>44838</v>
      </c>
      <c r="F213">
        <v>434</v>
      </c>
      <c r="G213" s="316">
        <v>5.9</v>
      </c>
      <c r="S213" s="180">
        <v>44771</v>
      </c>
      <c r="T213">
        <v>293</v>
      </c>
      <c r="U213" s="316">
        <v>12</v>
      </c>
      <c r="Y213" s="195">
        <v>44796</v>
      </c>
      <c r="Z213" s="196">
        <v>347</v>
      </c>
      <c r="AA213" s="197">
        <v>67.75</v>
      </c>
    </row>
    <row r="214" spans="1:28">
      <c r="A214" s="179">
        <v>44839</v>
      </c>
      <c r="B214">
        <v>700</v>
      </c>
      <c r="C214" s="316">
        <v>10.75</v>
      </c>
      <c r="E214" s="179">
        <v>44838</v>
      </c>
      <c r="F214">
        <v>435</v>
      </c>
      <c r="G214" s="316">
        <v>5.4</v>
      </c>
      <c r="H214" s="28">
        <f>G213+G214+G212</f>
        <v>23.8</v>
      </c>
      <c r="S214" s="180">
        <v>44771</v>
      </c>
      <c r="T214">
        <v>294</v>
      </c>
      <c r="U214" s="316">
        <v>11.25</v>
      </c>
      <c r="Y214" s="195">
        <v>44796</v>
      </c>
      <c r="Z214" s="196">
        <v>348</v>
      </c>
      <c r="AA214" s="197">
        <v>3.5</v>
      </c>
      <c r="AB214" s="28">
        <f>AA213+AA214+AA212</f>
        <v>74.75</v>
      </c>
    </row>
    <row r="215" spans="1:28">
      <c r="A215" s="179">
        <v>44839</v>
      </c>
      <c r="B215">
        <v>701</v>
      </c>
      <c r="C215" s="316">
        <v>11</v>
      </c>
      <c r="E215" s="179">
        <v>44839</v>
      </c>
      <c r="F215">
        <v>436</v>
      </c>
      <c r="G215" s="316">
        <v>36</v>
      </c>
      <c r="S215" s="180">
        <v>44771</v>
      </c>
      <c r="T215">
        <v>295</v>
      </c>
      <c r="U215" s="316">
        <v>11.75</v>
      </c>
      <c r="Y215" s="179">
        <v>44797</v>
      </c>
      <c r="Z215">
        <v>349</v>
      </c>
      <c r="AA215" s="316">
        <v>25.5</v>
      </c>
    </row>
    <row r="216" spans="1:28">
      <c r="A216" s="179">
        <v>44839</v>
      </c>
      <c r="B216">
        <v>702</v>
      </c>
      <c r="C216" s="316">
        <v>12</v>
      </c>
      <c r="E216" s="179">
        <v>44839</v>
      </c>
      <c r="F216">
        <v>437</v>
      </c>
      <c r="G216" s="316">
        <v>10.65</v>
      </c>
      <c r="S216" s="180">
        <v>44771</v>
      </c>
      <c r="T216">
        <v>296</v>
      </c>
      <c r="U216" s="316">
        <v>11.25</v>
      </c>
      <c r="Y216" s="179">
        <v>44797</v>
      </c>
      <c r="Z216">
        <v>350</v>
      </c>
      <c r="AA216" s="316">
        <v>8.6</v>
      </c>
      <c r="AB216" s="28">
        <f>AA215+AA216</f>
        <v>34.1</v>
      </c>
    </row>
    <row r="217" spans="1:28">
      <c r="A217" s="179">
        <v>44839</v>
      </c>
      <c r="B217">
        <v>703</v>
      </c>
      <c r="C217" s="316">
        <v>11</v>
      </c>
      <c r="E217" s="179">
        <v>44839</v>
      </c>
      <c r="F217">
        <v>438</v>
      </c>
      <c r="G217" s="316">
        <v>7.6</v>
      </c>
      <c r="S217" s="180">
        <v>44771</v>
      </c>
      <c r="T217">
        <v>297</v>
      </c>
      <c r="U217" s="316">
        <v>10.5</v>
      </c>
      <c r="Y217" s="195">
        <v>44798</v>
      </c>
      <c r="Z217" s="196">
        <v>351</v>
      </c>
      <c r="AA217" s="197">
        <v>17.5</v>
      </c>
    </row>
    <row r="218" spans="1:28">
      <c r="A218" s="179">
        <v>44839</v>
      </c>
      <c r="B218">
        <v>704</v>
      </c>
      <c r="C218" s="316">
        <v>12.75</v>
      </c>
      <c r="E218" s="179">
        <v>44839</v>
      </c>
      <c r="F218">
        <v>439</v>
      </c>
      <c r="G218" s="316">
        <v>22.25</v>
      </c>
      <c r="H218" s="28">
        <f>G217+G218+G216+G215</f>
        <v>76.5</v>
      </c>
      <c r="S218" s="180">
        <v>44771</v>
      </c>
      <c r="T218">
        <v>298</v>
      </c>
      <c r="U218" s="316">
        <v>10.5</v>
      </c>
      <c r="Y218" s="195">
        <v>44798</v>
      </c>
      <c r="Z218" s="196">
        <v>352</v>
      </c>
      <c r="AA218" s="197">
        <v>8.6</v>
      </c>
    </row>
    <row r="219" spans="1:28">
      <c r="A219" s="179">
        <v>44839</v>
      </c>
      <c r="B219">
        <v>705</v>
      </c>
      <c r="C219" s="316">
        <v>10.25</v>
      </c>
      <c r="E219" s="179">
        <v>44840</v>
      </c>
      <c r="F219">
        <v>440</v>
      </c>
      <c r="G219" s="316">
        <v>9</v>
      </c>
      <c r="S219" s="180">
        <v>44771</v>
      </c>
      <c r="T219">
        <v>299</v>
      </c>
      <c r="U219" s="316">
        <v>12</v>
      </c>
      <c r="Y219" s="195">
        <v>44799</v>
      </c>
      <c r="Z219" s="196">
        <v>353</v>
      </c>
      <c r="AA219" s="197">
        <v>15</v>
      </c>
      <c r="AB219" s="28">
        <f>AA218+AA219+AA217</f>
        <v>41.1</v>
      </c>
    </row>
    <row r="220" spans="1:28">
      <c r="A220" s="179">
        <v>44839</v>
      </c>
      <c r="B220">
        <v>706</v>
      </c>
      <c r="C220" s="316">
        <v>13.5</v>
      </c>
      <c r="E220" s="179">
        <v>44841</v>
      </c>
      <c r="F220">
        <v>441</v>
      </c>
      <c r="G220" s="316">
        <v>11.5</v>
      </c>
      <c r="S220" s="180">
        <v>44771</v>
      </c>
      <c r="T220">
        <v>300</v>
      </c>
      <c r="U220" s="316">
        <v>11</v>
      </c>
      <c r="Y220" s="179">
        <v>44800</v>
      </c>
      <c r="Z220">
        <v>354</v>
      </c>
      <c r="AA220" s="316">
        <v>68.75</v>
      </c>
    </row>
    <row r="221" spans="1:28">
      <c r="A221" s="179">
        <v>44839</v>
      </c>
      <c r="B221">
        <v>707</v>
      </c>
      <c r="C221" s="316">
        <v>11.75</v>
      </c>
      <c r="E221" s="179">
        <v>44841</v>
      </c>
      <c r="F221">
        <v>442</v>
      </c>
      <c r="G221" s="316">
        <v>3</v>
      </c>
      <c r="H221" s="28">
        <f>G220+G221+G219</f>
        <v>23.5</v>
      </c>
      <c r="S221" s="180">
        <v>44771</v>
      </c>
      <c r="T221">
        <v>301</v>
      </c>
      <c r="U221" s="316">
        <v>10</v>
      </c>
      <c r="Y221" s="179">
        <v>44800</v>
      </c>
      <c r="Z221">
        <v>355</v>
      </c>
      <c r="AA221" s="316">
        <v>2.6</v>
      </c>
      <c r="AB221" s="28">
        <f>AA220+AA221</f>
        <v>71.349999999999994</v>
      </c>
    </row>
    <row r="222" spans="1:28">
      <c r="A222" s="179">
        <v>44839</v>
      </c>
      <c r="B222">
        <v>708</v>
      </c>
      <c r="C222" s="316">
        <v>10.5</v>
      </c>
      <c r="E222" s="179">
        <v>44842</v>
      </c>
      <c r="F222">
        <v>443</v>
      </c>
      <c r="G222" s="316">
        <v>70</v>
      </c>
      <c r="S222" s="180">
        <v>44771</v>
      </c>
      <c r="T222">
        <v>302</v>
      </c>
      <c r="U222" s="316">
        <v>12</v>
      </c>
      <c r="Y222" s="179">
        <v>44801</v>
      </c>
      <c r="Z222">
        <v>356</v>
      </c>
      <c r="AA222" s="316">
        <v>65</v>
      </c>
    </row>
    <row r="223" spans="1:28">
      <c r="A223" s="179">
        <v>44839</v>
      </c>
      <c r="B223">
        <v>709</v>
      </c>
      <c r="C223" s="316">
        <v>10.5</v>
      </c>
      <c r="E223" s="179">
        <v>44842</v>
      </c>
      <c r="F223">
        <v>444</v>
      </c>
      <c r="G223" s="316">
        <v>40.25</v>
      </c>
      <c r="H223" s="28">
        <f>G222+G223</f>
        <v>110.25</v>
      </c>
      <c r="S223" s="180">
        <v>44771</v>
      </c>
      <c r="T223">
        <v>303</v>
      </c>
      <c r="U223" s="316">
        <v>10</v>
      </c>
      <c r="Y223" s="179">
        <v>44801</v>
      </c>
      <c r="Z223">
        <v>357</v>
      </c>
      <c r="AA223" s="316">
        <v>3.7</v>
      </c>
      <c r="AB223" s="28">
        <f>AA222+AA223</f>
        <v>68.7</v>
      </c>
    </row>
    <row r="224" spans="1:28">
      <c r="A224" s="179">
        <v>44839</v>
      </c>
      <c r="B224">
        <v>710</v>
      </c>
      <c r="C224" s="316">
        <v>13.25</v>
      </c>
      <c r="E224" s="179">
        <v>44843</v>
      </c>
      <c r="F224">
        <v>445</v>
      </c>
      <c r="G224" s="316">
        <v>6</v>
      </c>
      <c r="S224" s="180">
        <v>44771</v>
      </c>
      <c r="T224">
        <v>304</v>
      </c>
      <c r="U224" s="316">
        <v>13.75</v>
      </c>
      <c r="Y224" s="179">
        <v>44802</v>
      </c>
      <c r="Z224">
        <v>358</v>
      </c>
      <c r="AA224" s="316">
        <v>10.5</v>
      </c>
    </row>
    <row r="225" spans="1:28">
      <c r="A225" s="179">
        <v>44839</v>
      </c>
      <c r="B225">
        <v>711</v>
      </c>
      <c r="C225" s="316">
        <v>12</v>
      </c>
      <c r="D225" s="28">
        <f>SUM(C206:C225)</f>
        <v>226</v>
      </c>
      <c r="E225" s="179">
        <v>44843</v>
      </c>
      <c r="F225">
        <v>446</v>
      </c>
      <c r="G225" s="316">
        <v>58.3</v>
      </c>
      <c r="S225" s="180">
        <v>44771</v>
      </c>
      <c r="T225">
        <v>305</v>
      </c>
      <c r="U225" s="316">
        <v>11</v>
      </c>
      <c r="Y225" s="179">
        <v>44802</v>
      </c>
      <c r="Z225">
        <v>359</v>
      </c>
      <c r="AA225" s="316">
        <v>11.75</v>
      </c>
      <c r="AB225" s="28">
        <f>AA224+AA225</f>
        <v>22.25</v>
      </c>
    </row>
    <row r="226" spans="1:28">
      <c r="A226" s="179">
        <v>44841</v>
      </c>
      <c r="B226">
        <v>712</v>
      </c>
      <c r="C226" s="316">
        <v>10.5</v>
      </c>
      <c r="E226" s="179">
        <v>44843</v>
      </c>
      <c r="F226">
        <v>447</v>
      </c>
      <c r="G226" s="316">
        <v>2.5</v>
      </c>
      <c r="H226" s="28">
        <f>G225+G226+G224</f>
        <v>66.8</v>
      </c>
      <c r="S226" s="180">
        <v>44771</v>
      </c>
      <c r="T226">
        <v>306</v>
      </c>
      <c r="U226" s="316">
        <v>12.75</v>
      </c>
      <c r="Y226" s="179">
        <v>44803</v>
      </c>
      <c r="Z226">
        <v>360</v>
      </c>
      <c r="AA226" s="316">
        <v>11</v>
      </c>
    </row>
    <row r="227" spans="1:28">
      <c r="A227" s="179">
        <v>44841</v>
      </c>
      <c r="B227">
        <v>713</v>
      </c>
      <c r="C227" s="316">
        <v>10.5</v>
      </c>
      <c r="E227" s="179">
        <v>44845</v>
      </c>
      <c r="F227">
        <v>448</v>
      </c>
      <c r="G227" s="316">
        <v>27.5</v>
      </c>
      <c r="S227" s="180">
        <v>44771</v>
      </c>
      <c r="T227">
        <v>307</v>
      </c>
      <c r="U227" s="316">
        <v>10.5</v>
      </c>
      <c r="Y227" s="179">
        <v>44803</v>
      </c>
      <c r="Z227">
        <v>361</v>
      </c>
      <c r="AA227" s="316">
        <v>3.5</v>
      </c>
    </row>
    <row r="228" spans="1:28">
      <c r="A228" s="179">
        <v>44841</v>
      </c>
      <c r="B228">
        <v>714</v>
      </c>
      <c r="C228" s="316">
        <v>10</v>
      </c>
      <c r="E228" s="179">
        <v>44845</v>
      </c>
      <c r="F228">
        <v>449</v>
      </c>
      <c r="G228" s="316">
        <v>12.65</v>
      </c>
      <c r="H228" s="28">
        <f>G227+G228</f>
        <v>40.15</v>
      </c>
      <c r="S228" s="180">
        <v>44771</v>
      </c>
      <c r="T228">
        <v>308</v>
      </c>
      <c r="U228" s="316">
        <v>12</v>
      </c>
      <c r="Y228" s="179">
        <v>44803</v>
      </c>
      <c r="Z228">
        <v>362</v>
      </c>
      <c r="AA228" s="316">
        <v>23.75</v>
      </c>
      <c r="AB228" s="28">
        <f>AA227+AA228+AA226</f>
        <v>38.25</v>
      </c>
    </row>
    <row r="229" spans="1:28">
      <c r="A229" s="179">
        <v>44841</v>
      </c>
      <c r="B229">
        <v>715</v>
      </c>
      <c r="C229" s="316">
        <v>11</v>
      </c>
      <c r="E229" s="179">
        <v>44846</v>
      </c>
      <c r="F229">
        <v>450</v>
      </c>
      <c r="G229" s="316">
        <v>26.6</v>
      </c>
      <c r="S229" s="180">
        <v>44771</v>
      </c>
      <c r="T229">
        <v>309</v>
      </c>
      <c r="U229" s="316">
        <v>10.5</v>
      </c>
      <c r="Y229" s="179"/>
      <c r="AA229" s="28">
        <f>SUM(AA175:AA228)</f>
        <v>889.55000000000018</v>
      </c>
    </row>
    <row r="230" spans="1:28">
      <c r="A230" s="179">
        <v>44841</v>
      </c>
      <c r="B230">
        <v>716</v>
      </c>
      <c r="C230" s="316">
        <v>11.75</v>
      </c>
      <c r="E230" s="179">
        <v>44846</v>
      </c>
      <c r="F230">
        <v>451</v>
      </c>
      <c r="G230" s="316">
        <v>29</v>
      </c>
      <c r="H230" s="28">
        <f>G229+G230</f>
        <v>55.6</v>
      </c>
      <c r="S230" s="180">
        <v>44771</v>
      </c>
      <c r="T230">
        <v>310</v>
      </c>
      <c r="U230" s="316">
        <v>12</v>
      </c>
    </row>
    <row r="231" spans="1:28">
      <c r="A231" s="179">
        <v>44841</v>
      </c>
      <c r="B231">
        <v>717</v>
      </c>
      <c r="C231" s="316">
        <v>11.75</v>
      </c>
      <c r="E231" s="179">
        <v>44847</v>
      </c>
      <c r="F231">
        <v>452</v>
      </c>
      <c r="G231" s="316">
        <v>2.6</v>
      </c>
      <c r="S231" s="180">
        <v>44771</v>
      </c>
      <c r="T231">
        <v>311</v>
      </c>
      <c r="U231" s="316">
        <v>10</v>
      </c>
      <c r="AA231" s="28">
        <f>AA170+AA229</f>
        <v>2764.05</v>
      </c>
    </row>
    <row r="232" spans="1:28">
      <c r="A232" s="179">
        <v>44841</v>
      </c>
      <c r="B232">
        <v>718</v>
      </c>
      <c r="C232" s="316">
        <v>11</v>
      </c>
      <c r="E232" s="179">
        <v>44847</v>
      </c>
      <c r="F232">
        <v>453</v>
      </c>
      <c r="G232" s="316">
        <v>13.75</v>
      </c>
      <c r="S232" s="180">
        <v>44771</v>
      </c>
      <c r="T232">
        <v>312</v>
      </c>
      <c r="U232" s="316">
        <v>11</v>
      </c>
    </row>
    <row r="233" spans="1:28">
      <c r="A233" s="179">
        <v>44841</v>
      </c>
      <c r="B233">
        <v>719</v>
      </c>
      <c r="C233" s="316">
        <v>12</v>
      </c>
      <c r="E233" s="179">
        <v>44847</v>
      </c>
      <c r="F233">
        <v>454</v>
      </c>
      <c r="G233" s="316">
        <v>5.8</v>
      </c>
      <c r="H233" s="28">
        <f>G232+G233+G231</f>
        <v>22.150000000000002</v>
      </c>
      <c r="S233" s="180">
        <v>44771</v>
      </c>
      <c r="T233">
        <v>313</v>
      </c>
      <c r="U233" s="316">
        <v>12</v>
      </c>
      <c r="V233" s="28">
        <f>SUM(U212:U233)</f>
        <v>250.5</v>
      </c>
    </row>
    <row r="234" spans="1:28">
      <c r="A234" s="179">
        <v>44841</v>
      </c>
      <c r="B234">
        <v>720</v>
      </c>
      <c r="C234" s="316">
        <v>12</v>
      </c>
      <c r="E234" s="179">
        <v>44848</v>
      </c>
      <c r="F234">
        <v>455</v>
      </c>
      <c r="G234" s="316">
        <v>9.75</v>
      </c>
    </row>
    <row r="235" spans="1:28">
      <c r="A235" s="179">
        <v>44841</v>
      </c>
      <c r="B235">
        <v>721</v>
      </c>
      <c r="C235" s="316">
        <v>10</v>
      </c>
      <c r="E235" s="179">
        <v>44850</v>
      </c>
      <c r="F235">
        <v>456</v>
      </c>
      <c r="G235" s="316">
        <v>37.6</v>
      </c>
    </row>
    <row r="236" spans="1:28">
      <c r="A236" s="179">
        <v>44841</v>
      </c>
      <c r="B236">
        <v>722</v>
      </c>
      <c r="C236" s="316">
        <v>12</v>
      </c>
      <c r="E236" s="179">
        <v>44851</v>
      </c>
      <c r="F236">
        <v>457</v>
      </c>
      <c r="G236" s="316">
        <v>5.6</v>
      </c>
      <c r="U236" s="287">
        <f>SUM(U64:U235)</f>
        <v>1873.75</v>
      </c>
    </row>
    <row r="237" spans="1:28">
      <c r="A237" s="179">
        <v>44841</v>
      </c>
      <c r="B237">
        <v>723</v>
      </c>
      <c r="C237" s="316">
        <v>10</v>
      </c>
      <c r="E237" s="179">
        <v>44851</v>
      </c>
      <c r="F237">
        <v>458</v>
      </c>
      <c r="G237" s="316">
        <v>42.75</v>
      </c>
    </row>
    <row r="238" spans="1:28">
      <c r="A238" s="179">
        <v>44841</v>
      </c>
      <c r="B238">
        <v>724</v>
      </c>
      <c r="C238" s="316">
        <v>10.25</v>
      </c>
      <c r="E238" s="179">
        <v>44851</v>
      </c>
      <c r="F238">
        <v>459</v>
      </c>
      <c r="G238" s="316">
        <v>20.5</v>
      </c>
      <c r="U238" s="317">
        <f>U60+U236</f>
        <v>2804.35</v>
      </c>
    </row>
    <row r="239" spans="1:28">
      <c r="A239" s="179">
        <v>44841</v>
      </c>
      <c r="B239">
        <v>725</v>
      </c>
      <c r="C239" s="316">
        <v>10</v>
      </c>
      <c r="E239" s="179">
        <v>44851</v>
      </c>
      <c r="F239">
        <v>460</v>
      </c>
      <c r="G239" s="316">
        <v>11.5</v>
      </c>
      <c r="H239" s="28">
        <f>SUM(G234:G239)</f>
        <v>127.7</v>
      </c>
    </row>
    <row r="240" spans="1:28">
      <c r="A240" s="179">
        <v>44841</v>
      </c>
      <c r="B240">
        <v>726</v>
      </c>
      <c r="C240" s="316">
        <v>10</v>
      </c>
      <c r="E240" s="179">
        <v>44852</v>
      </c>
      <c r="F240">
        <v>461</v>
      </c>
      <c r="G240" s="316">
        <v>27.75</v>
      </c>
      <c r="S240" s="179">
        <v>37836</v>
      </c>
    </row>
    <row r="241" spans="1:27">
      <c r="A241" s="179">
        <v>44841</v>
      </c>
      <c r="B241">
        <v>727</v>
      </c>
      <c r="C241" s="316">
        <v>13</v>
      </c>
      <c r="E241" s="179">
        <v>44852</v>
      </c>
      <c r="F241">
        <v>462</v>
      </c>
      <c r="G241" s="316">
        <v>5.75</v>
      </c>
      <c r="H241" s="28">
        <f>G240+G241</f>
        <v>33.5</v>
      </c>
    </row>
    <row r="242" spans="1:27">
      <c r="A242" s="179">
        <v>44841</v>
      </c>
      <c r="B242">
        <v>728</v>
      </c>
      <c r="C242" s="316">
        <v>10.75</v>
      </c>
      <c r="E242" s="179">
        <v>44853</v>
      </c>
      <c r="F242">
        <v>463</v>
      </c>
      <c r="G242" s="316">
        <v>37.75</v>
      </c>
    </row>
    <row r="243" spans="1:27">
      <c r="A243" s="179">
        <v>44841</v>
      </c>
      <c r="B243">
        <v>729</v>
      </c>
      <c r="C243" s="316">
        <v>12</v>
      </c>
      <c r="E243" s="179">
        <v>44854</v>
      </c>
      <c r="F243">
        <v>464</v>
      </c>
      <c r="G243" s="316">
        <v>11.25</v>
      </c>
    </row>
    <row r="244" spans="1:27">
      <c r="A244" s="179">
        <v>44841</v>
      </c>
      <c r="B244">
        <v>730</v>
      </c>
      <c r="C244" s="316">
        <v>10.25</v>
      </c>
      <c r="D244" s="28">
        <f>SUM(C226:C244)</f>
        <v>208.75</v>
      </c>
      <c r="E244" s="179">
        <v>44854</v>
      </c>
      <c r="F244">
        <v>465</v>
      </c>
      <c r="G244" s="316">
        <v>6.3</v>
      </c>
      <c r="H244" s="28">
        <f>G243+G244+G242</f>
        <v>55.3</v>
      </c>
    </row>
    <row r="245" spans="1:27">
      <c r="A245" s="179">
        <v>44846</v>
      </c>
      <c r="B245">
        <v>731</v>
      </c>
      <c r="C245" s="316">
        <v>10.75</v>
      </c>
      <c r="E245" s="179">
        <v>44855</v>
      </c>
      <c r="F245">
        <v>466</v>
      </c>
      <c r="G245" s="316">
        <v>30.25</v>
      </c>
      <c r="S245" s="341">
        <v>44806</v>
      </c>
      <c r="T245">
        <v>483</v>
      </c>
      <c r="U245" s="316">
        <v>10</v>
      </c>
      <c r="Y245" s="180">
        <v>44805</v>
      </c>
      <c r="Z245">
        <v>363</v>
      </c>
      <c r="AA245" s="194">
        <v>54.25</v>
      </c>
    </row>
    <row r="246" spans="1:27">
      <c r="A246" s="179">
        <v>44846</v>
      </c>
      <c r="B246">
        <v>732</v>
      </c>
      <c r="C246" s="316">
        <v>10.5</v>
      </c>
      <c r="E246" s="179">
        <v>44855</v>
      </c>
      <c r="F246">
        <v>467</v>
      </c>
      <c r="G246" s="316">
        <v>5.5</v>
      </c>
      <c r="H246" s="28">
        <f>G245+G246</f>
        <v>35.75</v>
      </c>
      <c r="S246" s="341">
        <v>44806</v>
      </c>
      <c r="T246">
        <v>484</v>
      </c>
      <c r="U246" s="316">
        <v>8.75</v>
      </c>
      <c r="Y246" s="180">
        <v>44805</v>
      </c>
      <c r="Z246">
        <v>364</v>
      </c>
      <c r="AA246" s="194">
        <v>20.25</v>
      </c>
    </row>
    <row r="247" spans="1:27">
      <c r="A247" s="179">
        <v>44846</v>
      </c>
      <c r="B247">
        <v>733</v>
      </c>
      <c r="C247" s="316">
        <v>10</v>
      </c>
      <c r="E247" s="179">
        <v>44856</v>
      </c>
      <c r="F247">
        <v>468</v>
      </c>
      <c r="G247" s="316">
        <v>43</v>
      </c>
      <c r="S247" s="341">
        <v>44806</v>
      </c>
      <c r="T247">
        <v>485</v>
      </c>
      <c r="U247" s="316">
        <v>11.5</v>
      </c>
      <c r="Y247" s="319">
        <v>44806</v>
      </c>
      <c r="Z247" s="193">
        <v>365</v>
      </c>
      <c r="AA247" s="194">
        <v>14.5</v>
      </c>
    </row>
    <row r="248" spans="1:27">
      <c r="A248" s="179">
        <v>44846</v>
      </c>
      <c r="B248">
        <v>734</v>
      </c>
      <c r="C248" s="316">
        <v>10</v>
      </c>
      <c r="E248" s="179">
        <v>44856</v>
      </c>
      <c r="F248">
        <v>469</v>
      </c>
      <c r="G248" s="316">
        <v>6.8</v>
      </c>
      <c r="H248" s="28">
        <f>G247+G248</f>
        <v>49.8</v>
      </c>
      <c r="S248" s="341">
        <v>44806</v>
      </c>
      <c r="T248">
        <v>486</v>
      </c>
      <c r="U248" s="316">
        <v>12</v>
      </c>
      <c r="Y248" s="319">
        <v>44806</v>
      </c>
      <c r="Z248" s="193">
        <v>366</v>
      </c>
      <c r="AA248" s="194">
        <v>3.55</v>
      </c>
    </row>
    <row r="249" spans="1:27">
      <c r="A249" s="179">
        <v>44846</v>
      </c>
      <c r="B249">
        <v>735</v>
      </c>
      <c r="C249" s="316">
        <v>10</v>
      </c>
      <c r="E249" s="179">
        <v>44857</v>
      </c>
      <c r="F249">
        <v>470</v>
      </c>
      <c r="G249" s="316">
        <v>7</v>
      </c>
      <c r="S249" s="341">
        <v>44806</v>
      </c>
      <c r="T249">
        <v>487</v>
      </c>
      <c r="U249" s="316">
        <v>13</v>
      </c>
      <c r="Y249" s="180">
        <v>44807</v>
      </c>
      <c r="Z249">
        <v>367</v>
      </c>
      <c r="AA249" s="194">
        <v>24.25</v>
      </c>
    </row>
    <row r="250" spans="1:27">
      <c r="A250" s="179">
        <v>44846</v>
      </c>
      <c r="B250">
        <v>736</v>
      </c>
      <c r="C250" s="316">
        <v>11</v>
      </c>
      <c r="E250" s="179">
        <v>44857</v>
      </c>
      <c r="F250">
        <v>471</v>
      </c>
      <c r="G250" s="316">
        <v>5</v>
      </c>
      <c r="S250" s="341">
        <v>44806</v>
      </c>
      <c r="T250">
        <v>488</v>
      </c>
      <c r="U250" s="316">
        <v>10.75</v>
      </c>
      <c r="Y250" s="180">
        <v>44807</v>
      </c>
      <c r="Z250">
        <v>368</v>
      </c>
      <c r="AA250" s="194">
        <v>5.75</v>
      </c>
    </row>
    <row r="251" spans="1:27">
      <c r="A251" s="179">
        <v>44846</v>
      </c>
      <c r="B251">
        <v>737</v>
      </c>
      <c r="C251" s="316">
        <v>12.25</v>
      </c>
      <c r="E251" s="179">
        <v>44857</v>
      </c>
      <c r="F251">
        <v>472</v>
      </c>
      <c r="G251" s="316">
        <v>2.9</v>
      </c>
      <c r="H251" s="28">
        <f>G250+G251+G249</f>
        <v>14.9</v>
      </c>
      <c r="S251" s="341">
        <v>44806</v>
      </c>
      <c r="T251">
        <v>489</v>
      </c>
      <c r="U251" s="316">
        <v>12.5</v>
      </c>
      <c r="Y251" s="319">
        <v>44808</v>
      </c>
      <c r="Z251" s="193">
        <v>369</v>
      </c>
      <c r="AA251" s="194">
        <v>32.5</v>
      </c>
    </row>
    <row r="252" spans="1:27">
      <c r="A252" s="179">
        <v>44846</v>
      </c>
      <c r="B252">
        <v>738</v>
      </c>
      <c r="C252" s="316">
        <v>12</v>
      </c>
      <c r="E252" s="179">
        <v>44858</v>
      </c>
      <c r="F252">
        <v>473</v>
      </c>
      <c r="G252" s="316">
        <v>36.25</v>
      </c>
      <c r="S252" s="341">
        <v>44806</v>
      </c>
      <c r="T252">
        <v>490</v>
      </c>
      <c r="U252" s="316">
        <v>13</v>
      </c>
      <c r="Y252" s="319">
        <v>44808</v>
      </c>
      <c r="Z252" s="193">
        <v>370</v>
      </c>
      <c r="AA252" s="194">
        <v>5.0999999999999996</v>
      </c>
    </row>
    <row r="253" spans="1:27">
      <c r="A253" s="179">
        <v>44846</v>
      </c>
      <c r="B253">
        <v>739</v>
      </c>
      <c r="C253" s="316">
        <v>11</v>
      </c>
      <c r="E253" s="179">
        <v>44858</v>
      </c>
      <c r="F253">
        <v>474</v>
      </c>
      <c r="G253" s="316">
        <v>1.8</v>
      </c>
      <c r="H253" s="28">
        <f>G252+G253</f>
        <v>38.049999999999997</v>
      </c>
      <c r="S253" s="341">
        <v>44806</v>
      </c>
      <c r="T253">
        <v>491</v>
      </c>
      <c r="U253" s="316">
        <v>11.5</v>
      </c>
      <c r="Y253" s="319">
        <v>44808</v>
      </c>
      <c r="Z253" s="193">
        <v>371</v>
      </c>
      <c r="AA253" s="194">
        <v>2.5499999999999998</v>
      </c>
    </row>
    <row r="254" spans="1:27">
      <c r="A254" s="179">
        <v>44846</v>
      </c>
      <c r="B254">
        <v>740</v>
      </c>
      <c r="C254" s="316">
        <v>12</v>
      </c>
      <c r="E254" s="179">
        <v>44859</v>
      </c>
      <c r="F254">
        <v>475</v>
      </c>
      <c r="G254" s="316">
        <v>32</v>
      </c>
      <c r="S254" s="341">
        <v>44806</v>
      </c>
      <c r="T254">
        <v>492</v>
      </c>
      <c r="U254" s="316">
        <v>12.5</v>
      </c>
      <c r="Y254" s="180">
        <v>44809</v>
      </c>
      <c r="Z254">
        <v>372</v>
      </c>
      <c r="AA254" s="194">
        <v>45.25</v>
      </c>
    </row>
    <row r="255" spans="1:27">
      <c r="A255" s="179">
        <v>44846</v>
      </c>
      <c r="B255">
        <v>741</v>
      </c>
      <c r="C255" s="316">
        <v>11.5</v>
      </c>
      <c r="E255" s="179">
        <v>44859</v>
      </c>
      <c r="F255">
        <v>476</v>
      </c>
      <c r="G255" s="316">
        <v>7.1</v>
      </c>
      <c r="H255" s="28">
        <f>G254+G255</f>
        <v>39.1</v>
      </c>
      <c r="S255" s="341">
        <v>44806</v>
      </c>
      <c r="T255">
        <v>493</v>
      </c>
      <c r="U255" s="316">
        <v>10.5</v>
      </c>
      <c r="Y255" s="180">
        <v>44809</v>
      </c>
      <c r="Z255">
        <v>373</v>
      </c>
      <c r="AA255" s="194">
        <v>13.5</v>
      </c>
    </row>
    <row r="256" spans="1:27">
      <c r="A256" s="179">
        <v>44846</v>
      </c>
      <c r="B256">
        <v>742</v>
      </c>
      <c r="C256" s="316">
        <v>11.5</v>
      </c>
      <c r="E256" s="179">
        <v>44860</v>
      </c>
      <c r="F256">
        <v>477</v>
      </c>
      <c r="G256" s="316">
        <v>10.5</v>
      </c>
      <c r="S256" s="341">
        <v>44806</v>
      </c>
      <c r="T256">
        <v>494</v>
      </c>
      <c r="U256" s="316">
        <v>16.5</v>
      </c>
      <c r="Y256" s="319">
        <v>44810</v>
      </c>
      <c r="Z256" s="193">
        <v>374</v>
      </c>
      <c r="AA256" s="194">
        <v>20</v>
      </c>
    </row>
    <row r="257" spans="1:27">
      <c r="A257" s="179">
        <v>44846</v>
      </c>
      <c r="B257">
        <v>743</v>
      </c>
      <c r="C257" s="316">
        <v>10</v>
      </c>
      <c r="E257" s="179">
        <v>44860</v>
      </c>
      <c r="F257">
        <v>478</v>
      </c>
      <c r="G257" s="316">
        <v>4.8</v>
      </c>
      <c r="H257" s="28">
        <f>G256+G257</f>
        <v>15.3</v>
      </c>
      <c r="S257" s="341">
        <v>44806</v>
      </c>
      <c r="T257">
        <v>495</v>
      </c>
      <c r="U257" s="316">
        <v>10.25</v>
      </c>
      <c r="Y257" s="319">
        <v>44810</v>
      </c>
      <c r="Z257" s="193">
        <v>375</v>
      </c>
      <c r="AA257" s="194">
        <v>5.75</v>
      </c>
    </row>
    <row r="258" spans="1:27">
      <c r="A258" s="179">
        <v>44846</v>
      </c>
      <c r="B258">
        <v>744</v>
      </c>
      <c r="C258" s="316">
        <v>10.5</v>
      </c>
      <c r="E258" s="179">
        <v>44861</v>
      </c>
      <c r="F258">
        <v>479</v>
      </c>
      <c r="G258" s="316">
        <v>26</v>
      </c>
      <c r="S258" s="341">
        <v>44806</v>
      </c>
      <c r="T258">
        <v>496</v>
      </c>
      <c r="U258" s="316">
        <v>10.5</v>
      </c>
      <c r="Y258" s="180">
        <v>44811</v>
      </c>
      <c r="Z258">
        <v>376</v>
      </c>
      <c r="AA258" s="194">
        <v>5.75</v>
      </c>
    </row>
    <row r="259" spans="1:27">
      <c r="A259" s="179">
        <v>44846</v>
      </c>
      <c r="B259">
        <v>745</v>
      </c>
      <c r="C259" s="316">
        <v>11.75</v>
      </c>
      <c r="E259" s="179">
        <v>44861</v>
      </c>
      <c r="F259">
        <v>480</v>
      </c>
      <c r="G259" s="316">
        <v>7.95</v>
      </c>
      <c r="H259" s="28">
        <f>G258+G259</f>
        <v>33.950000000000003</v>
      </c>
      <c r="S259" s="341">
        <v>44806</v>
      </c>
      <c r="T259">
        <v>497</v>
      </c>
      <c r="U259" s="316">
        <v>11.5</v>
      </c>
      <c r="Y259" s="180">
        <v>44812</v>
      </c>
      <c r="Z259">
        <v>377</v>
      </c>
      <c r="AA259" s="194">
        <v>12.75</v>
      </c>
    </row>
    <row r="260" spans="1:27">
      <c r="A260" s="179">
        <v>44846</v>
      </c>
      <c r="B260">
        <v>746</v>
      </c>
      <c r="C260" s="316">
        <v>10</v>
      </c>
      <c r="E260" s="179">
        <v>44862</v>
      </c>
      <c r="F260">
        <v>481</v>
      </c>
      <c r="G260" s="316">
        <v>6.45</v>
      </c>
      <c r="S260" s="341">
        <v>44806</v>
      </c>
      <c r="T260">
        <v>498</v>
      </c>
      <c r="U260" s="316">
        <v>12</v>
      </c>
      <c r="Y260" s="180">
        <v>44812</v>
      </c>
      <c r="Z260">
        <v>378</v>
      </c>
      <c r="AA260" s="194">
        <v>12.55</v>
      </c>
    </row>
    <row r="261" spans="1:27">
      <c r="A261" s="179">
        <v>44846</v>
      </c>
      <c r="B261">
        <v>747</v>
      </c>
      <c r="C261" s="316">
        <v>10.5</v>
      </c>
      <c r="E261" s="179">
        <v>44863</v>
      </c>
      <c r="F261">
        <v>482</v>
      </c>
      <c r="G261" s="316">
        <v>15.25</v>
      </c>
      <c r="S261" s="341">
        <v>44806</v>
      </c>
      <c r="T261">
        <v>499</v>
      </c>
      <c r="U261" s="316">
        <v>11</v>
      </c>
      <c r="Y261" s="319">
        <v>44813</v>
      </c>
      <c r="Z261" s="193">
        <v>379</v>
      </c>
      <c r="AA261" s="194">
        <v>16.75</v>
      </c>
    </row>
    <row r="262" spans="1:27">
      <c r="A262" s="179">
        <v>44846</v>
      </c>
      <c r="B262">
        <v>748</v>
      </c>
      <c r="C262" s="316">
        <v>10.5</v>
      </c>
      <c r="E262" s="179">
        <v>44863</v>
      </c>
      <c r="F262">
        <v>483</v>
      </c>
      <c r="G262" s="316">
        <v>6.55</v>
      </c>
      <c r="H262" s="28">
        <f>G261+G262+G260</f>
        <v>28.25</v>
      </c>
      <c r="S262" s="341">
        <v>44806</v>
      </c>
      <c r="T262">
        <v>500</v>
      </c>
      <c r="U262" s="316">
        <v>12</v>
      </c>
      <c r="Y262" s="319">
        <v>44813</v>
      </c>
      <c r="Z262" s="193">
        <v>380</v>
      </c>
      <c r="AA262" s="194">
        <v>10.6</v>
      </c>
    </row>
    <row r="263" spans="1:27">
      <c r="A263" s="179">
        <v>44846</v>
      </c>
      <c r="B263">
        <v>749</v>
      </c>
      <c r="C263" s="316">
        <v>12.5</v>
      </c>
      <c r="E263" s="179">
        <v>44864</v>
      </c>
      <c r="F263">
        <v>484</v>
      </c>
      <c r="G263" s="316">
        <v>31.15</v>
      </c>
      <c r="S263" s="341">
        <v>44806</v>
      </c>
      <c r="T263">
        <v>501</v>
      </c>
      <c r="U263" s="316">
        <v>11.25</v>
      </c>
      <c r="Y263" s="180">
        <v>44814</v>
      </c>
      <c r="Z263">
        <v>381</v>
      </c>
      <c r="AA263" s="194">
        <v>55.75</v>
      </c>
    </row>
    <row r="264" spans="1:27">
      <c r="A264" s="179">
        <v>44846</v>
      </c>
      <c r="B264">
        <v>750</v>
      </c>
      <c r="C264" s="316">
        <v>12</v>
      </c>
      <c r="E264" s="179">
        <v>44864</v>
      </c>
      <c r="F264">
        <v>485</v>
      </c>
      <c r="G264" s="316">
        <v>15.2</v>
      </c>
      <c r="S264" s="341">
        <v>44806</v>
      </c>
      <c r="T264">
        <v>502</v>
      </c>
      <c r="U264" s="316">
        <v>11.5</v>
      </c>
      <c r="Y264" s="180">
        <v>44814</v>
      </c>
      <c r="Z264">
        <v>382</v>
      </c>
      <c r="AA264" s="194">
        <v>14</v>
      </c>
    </row>
    <row r="265" spans="1:27">
      <c r="A265" s="179">
        <v>44846</v>
      </c>
      <c r="B265">
        <v>751</v>
      </c>
      <c r="C265" s="316">
        <v>11.25</v>
      </c>
      <c r="D265" s="28">
        <f>SUM(C245:C265)</f>
        <v>231.5</v>
      </c>
      <c r="E265" s="179">
        <v>44864</v>
      </c>
      <c r="F265">
        <v>486</v>
      </c>
      <c r="G265" s="316">
        <v>4.95</v>
      </c>
      <c r="H265" s="28">
        <f>G264+G265+G263</f>
        <v>51.3</v>
      </c>
      <c r="S265" s="341">
        <v>44806</v>
      </c>
      <c r="T265">
        <v>503</v>
      </c>
      <c r="U265" s="316">
        <v>12</v>
      </c>
      <c r="Y265" s="319">
        <v>44815</v>
      </c>
      <c r="Z265" s="193">
        <v>383</v>
      </c>
      <c r="AA265" s="194">
        <v>4.3</v>
      </c>
    </row>
    <row r="266" spans="1:27">
      <c r="A266" s="179">
        <v>44848</v>
      </c>
      <c r="B266">
        <v>752</v>
      </c>
      <c r="C266" s="316">
        <v>10</v>
      </c>
      <c r="E266" s="179">
        <v>44865</v>
      </c>
      <c r="F266">
        <v>487</v>
      </c>
      <c r="G266" s="316">
        <v>18</v>
      </c>
      <c r="S266" s="341">
        <v>44806</v>
      </c>
      <c r="T266">
        <v>504</v>
      </c>
      <c r="U266" s="316">
        <v>10.25</v>
      </c>
      <c r="Y266" s="319">
        <v>44815</v>
      </c>
      <c r="Z266" s="193">
        <v>384</v>
      </c>
      <c r="AA266" s="194">
        <v>1.6</v>
      </c>
    </row>
    <row r="267" spans="1:27">
      <c r="A267" s="179">
        <v>44848</v>
      </c>
      <c r="B267">
        <v>753</v>
      </c>
      <c r="C267" s="316">
        <v>11</v>
      </c>
      <c r="E267" s="179">
        <v>44865</v>
      </c>
      <c r="F267">
        <v>488</v>
      </c>
      <c r="G267" s="316">
        <v>4.0999999999999996</v>
      </c>
      <c r="S267" s="341">
        <v>44806</v>
      </c>
      <c r="T267">
        <v>505</v>
      </c>
      <c r="U267" s="316">
        <v>11</v>
      </c>
      <c r="Y267" s="180">
        <v>44816</v>
      </c>
      <c r="Z267">
        <v>385</v>
      </c>
      <c r="AA267" s="194">
        <v>13.25</v>
      </c>
    </row>
    <row r="268" spans="1:27">
      <c r="A268" s="179">
        <v>44848</v>
      </c>
      <c r="B268">
        <v>754</v>
      </c>
      <c r="C268" s="316">
        <v>10</v>
      </c>
      <c r="E268" s="179">
        <v>44865</v>
      </c>
      <c r="F268">
        <v>489</v>
      </c>
      <c r="G268" s="316">
        <v>5.65</v>
      </c>
      <c r="H268" s="28">
        <f>G267+G268+G266</f>
        <v>27.75</v>
      </c>
      <c r="S268" s="341">
        <v>44806</v>
      </c>
      <c r="T268">
        <v>506</v>
      </c>
      <c r="U268" s="316">
        <v>10.25</v>
      </c>
      <c r="Y268" s="180">
        <v>44816</v>
      </c>
      <c r="Z268">
        <v>386</v>
      </c>
      <c r="AA268" s="194">
        <v>3</v>
      </c>
    </row>
    <row r="269" spans="1:27">
      <c r="A269" s="179">
        <v>44848</v>
      </c>
      <c r="B269">
        <v>755</v>
      </c>
      <c r="C269" s="316">
        <v>8</v>
      </c>
      <c r="G269" s="220">
        <f>SUM(G206:G268)</f>
        <v>1059.25</v>
      </c>
      <c r="H269" s="220">
        <f>SUM(H206:H268)</f>
        <v>1059.2499999999998</v>
      </c>
      <c r="S269" s="341">
        <v>44806</v>
      </c>
      <c r="T269">
        <v>507</v>
      </c>
      <c r="U269" s="316">
        <v>10.5</v>
      </c>
      <c r="Y269" s="319">
        <v>44817</v>
      </c>
      <c r="Z269" s="193">
        <v>387</v>
      </c>
      <c r="AA269" s="194">
        <v>14.65</v>
      </c>
    </row>
    <row r="270" spans="1:27">
      <c r="A270" s="179">
        <v>44848</v>
      </c>
      <c r="B270">
        <v>756</v>
      </c>
      <c r="C270" s="316">
        <v>10</v>
      </c>
      <c r="S270" s="341">
        <v>44806</v>
      </c>
      <c r="T270">
        <v>508</v>
      </c>
      <c r="U270" s="316">
        <v>10</v>
      </c>
      <c r="Y270" s="319">
        <v>44817</v>
      </c>
      <c r="Z270" s="193">
        <v>388</v>
      </c>
      <c r="AA270" s="194">
        <v>5.75</v>
      </c>
    </row>
    <row r="271" spans="1:27">
      <c r="A271" s="179">
        <v>44848</v>
      </c>
      <c r="B271">
        <v>757</v>
      </c>
      <c r="C271" s="316">
        <v>9.5</v>
      </c>
      <c r="S271" s="341">
        <v>44806</v>
      </c>
      <c r="T271">
        <v>509</v>
      </c>
      <c r="U271" s="316">
        <v>10.25</v>
      </c>
      <c r="V271" s="28">
        <f>SUM(U245:U271)</f>
        <v>306.75</v>
      </c>
      <c r="Y271" s="319">
        <v>44818</v>
      </c>
      <c r="Z271" s="193">
        <v>389</v>
      </c>
      <c r="AA271" s="194">
        <v>4.2</v>
      </c>
    </row>
    <row r="272" spans="1:27">
      <c r="A272" s="179">
        <v>44848</v>
      </c>
      <c r="B272">
        <v>758</v>
      </c>
      <c r="C272" s="316">
        <v>5</v>
      </c>
      <c r="S272" s="180">
        <v>44811</v>
      </c>
      <c r="T272">
        <v>510</v>
      </c>
      <c r="U272" s="316">
        <v>11</v>
      </c>
      <c r="Y272" s="318">
        <v>44819</v>
      </c>
      <c r="Z272" s="187">
        <v>390</v>
      </c>
      <c r="AA272" s="224">
        <v>17.75</v>
      </c>
    </row>
    <row r="273" spans="1:27">
      <c r="A273" s="179">
        <v>44848</v>
      </c>
      <c r="B273">
        <v>759</v>
      </c>
      <c r="C273" s="316">
        <v>10</v>
      </c>
      <c r="S273" s="180">
        <v>44811</v>
      </c>
      <c r="T273">
        <v>511</v>
      </c>
      <c r="U273" s="316">
        <v>12</v>
      </c>
      <c r="Y273" s="318">
        <v>44819</v>
      </c>
      <c r="Z273" s="187">
        <v>391</v>
      </c>
      <c r="AA273" s="224">
        <v>8</v>
      </c>
    </row>
    <row r="274" spans="1:27">
      <c r="A274" s="179">
        <v>44848</v>
      </c>
      <c r="B274">
        <v>760</v>
      </c>
      <c r="C274" s="316">
        <v>10.5</v>
      </c>
      <c r="S274" s="180">
        <v>44811</v>
      </c>
      <c r="T274">
        <v>512</v>
      </c>
      <c r="U274" s="316">
        <v>10.5</v>
      </c>
      <c r="Y274" s="318">
        <v>44819</v>
      </c>
      <c r="Z274" s="187">
        <v>392</v>
      </c>
      <c r="AA274" s="224">
        <v>3.15</v>
      </c>
    </row>
    <row r="275" spans="1:27">
      <c r="A275" s="179">
        <v>44848</v>
      </c>
      <c r="B275">
        <v>761</v>
      </c>
      <c r="C275" s="316">
        <v>10</v>
      </c>
      <c r="S275" s="180">
        <v>44811</v>
      </c>
      <c r="T275">
        <v>513</v>
      </c>
      <c r="U275" s="316">
        <v>11</v>
      </c>
      <c r="Y275" s="320">
        <v>44820</v>
      </c>
      <c r="Z275" s="236">
        <v>393</v>
      </c>
      <c r="AA275" s="237">
        <v>49</v>
      </c>
    </row>
    <row r="276" spans="1:27">
      <c r="A276" s="179">
        <v>44848</v>
      </c>
      <c r="B276">
        <v>762</v>
      </c>
      <c r="C276" s="316">
        <v>7.5</v>
      </c>
      <c r="S276" s="180">
        <v>44811</v>
      </c>
      <c r="T276">
        <v>514</v>
      </c>
      <c r="U276" s="316">
        <v>12</v>
      </c>
      <c r="Y276" s="320">
        <v>44820</v>
      </c>
      <c r="Z276" s="236">
        <v>394</v>
      </c>
      <c r="AA276" s="237">
        <v>3.8</v>
      </c>
    </row>
    <row r="277" spans="1:27">
      <c r="A277" s="179">
        <v>44848</v>
      </c>
      <c r="B277">
        <v>763</v>
      </c>
      <c r="C277" s="316">
        <v>8</v>
      </c>
      <c r="S277" s="180">
        <v>44811</v>
      </c>
      <c r="T277">
        <v>515</v>
      </c>
      <c r="U277" s="316">
        <v>12.5</v>
      </c>
      <c r="Y277" s="219">
        <v>44821</v>
      </c>
      <c r="Z277" s="188">
        <v>395</v>
      </c>
      <c r="AA277" s="198">
        <v>44.5</v>
      </c>
    </row>
    <row r="278" spans="1:27">
      <c r="A278" s="179">
        <v>44848</v>
      </c>
      <c r="B278">
        <v>764</v>
      </c>
      <c r="C278" s="316">
        <v>9.75</v>
      </c>
      <c r="S278" s="180">
        <v>44811</v>
      </c>
      <c r="T278">
        <v>516</v>
      </c>
      <c r="U278" s="316">
        <v>10</v>
      </c>
      <c r="Y278" s="219">
        <v>44821</v>
      </c>
      <c r="Z278" s="188">
        <v>396</v>
      </c>
      <c r="AA278" s="198">
        <v>6.65</v>
      </c>
    </row>
    <row r="279" spans="1:27">
      <c r="A279" s="179">
        <v>44848</v>
      </c>
      <c r="B279">
        <v>765</v>
      </c>
      <c r="C279" s="316">
        <v>10.75</v>
      </c>
      <c r="S279" s="180">
        <v>44811</v>
      </c>
      <c r="T279">
        <v>517</v>
      </c>
      <c r="U279" s="316">
        <v>12.25</v>
      </c>
      <c r="Y279" s="219">
        <v>44821</v>
      </c>
      <c r="Z279" s="188">
        <v>397</v>
      </c>
      <c r="AA279" s="198">
        <v>3.1</v>
      </c>
    </row>
    <row r="280" spans="1:27">
      <c r="A280" s="179">
        <v>44848</v>
      </c>
      <c r="B280">
        <v>766</v>
      </c>
      <c r="C280" s="316">
        <v>7</v>
      </c>
      <c r="S280" s="180">
        <v>44811</v>
      </c>
      <c r="T280">
        <v>518</v>
      </c>
      <c r="U280" s="316">
        <v>10</v>
      </c>
      <c r="Y280" s="342">
        <v>44822</v>
      </c>
      <c r="Z280" s="196">
        <v>398</v>
      </c>
      <c r="AA280" s="197">
        <v>13.8</v>
      </c>
    </row>
    <row r="281" spans="1:27">
      <c r="A281" s="179">
        <v>44848</v>
      </c>
      <c r="B281">
        <v>767</v>
      </c>
      <c r="C281" s="316">
        <v>9.25</v>
      </c>
      <c r="S281" s="180">
        <v>44811</v>
      </c>
      <c r="T281">
        <v>519</v>
      </c>
      <c r="U281" s="316">
        <v>11.75</v>
      </c>
      <c r="Y281" s="342">
        <v>44823</v>
      </c>
      <c r="Z281" s="196">
        <v>399</v>
      </c>
      <c r="AA281" s="197">
        <v>18.25</v>
      </c>
    </row>
    <row r="282" spans="1:27">
      <c r="A282" s="179">
        <v>44848</v>
      </c>
      <c r="B282">
        <v>768</v>
      </c>
      <c r="C282" s="316">
        <v>10</v>
      </c>
      <c r="S282" s="180">
        <v>44811</v>
      </c>
      <c r="T282">
        <v>520</v>
      </c>
      <c r="U282" s="316">
        <v>10.5</v>
      </c>
      <c r="Y282" s="342">
        <v>44823</v>
      </c>
      <c r="Z282" s="196">
        <v>400</v>
      </c>
      <c r="AA282" s="197">
        <v>7.3</v>
      </c>
    </row>
    <row r="283" spans="1:27">
      <c r="A283" s="179">
        <v>44848</v>
      </c>
      <c r="B283">
        <v>769</v>
      </c>
      <c r="C283" s="316">
        <v>8</v>
      </c>
      <c r="S283" s="180">
        <v>44811</v>
      </c>
      <c r="T283">
        <v>521</v>
      </c>
      <c r="U283" s="316">
        <v>10.25</v>
      </c>
      <c r="Y283" s="321">
        <v>44824</v>
      </c>
      <c r="Z283" s="263">
        <v>401</v>
      </c>
      <c r="AA283" s="234">
        <v>27.75</v>
      </c>
    </row>
    <row r="284" spans="1:27">
      <c r="A284" s="179">
        <v>44848</v>
      </c>
      <c r="B284">
        <v>770</v>
      </c>
      <c r="C284" s="316">
        <v>11</v>
      </c>
      <c r="S284" s="180">
        <v>44811</v>
      </c>
      <c r="T284">
        <v>522</v>
      </c>
      <c r="U284" s="316">
        <v>10.5</v>
      </c>
      <c r="Y284" s="321">
        <v>44824</v>
      </c>
      <c r="Z284" s="263">
        <v>402</v>
      </c>
      <c r="AA284" s="234">
        <v>3.25</v>
      </c>
    </row>
    <row r="285" spans="1:27">
      <c r="A285" s="179">
        <v>44848</v>
      </c>
      <c r="B285">
        <v>771</v>
      </c>
      <c r="C285" s="316">
        <v>13.5</v>
      </c>
      <c r="S285" s="180">
        <v>44811</v>
      </c>
      <c r="T285">
        <v>523</v>
      </c>
      <c r="U285" s="316">
        <v>10</v>
      </c>
      <c r="Y285" s="321">
        <v>44825</v>
      </c>
      <c r="Z285" s="263">
        <v>403</v>
      </c>
      <c r="AA285" s="234">
        <v>11.1</v>
      </c>
    </row>
    <row r="286" spans="1:27">
      <c r="A286" s="179">
        <v>44848</v>
      </c>
      <c r="B286">
        <v>772</v>
      </c>
      <c r="C286" s="316">
        <v>12</v>
      </c>
      <c r="S286" s="180">
        <v>44811</v>
      </c>
      <c r="T286">
        <v>524</v>
      </c>
      <c r="U286" s="316">
        <v>10.75</v>
      </c>
      <c r="Y286" s="319">
        <v>44826</v>
      </c>
      <c r="Z286" s="193">
        <v>404</v>
      </c>
      <c r="AA286" s="194">
        <v>25.75</v>
      </c>
    </row>
    <row r="287" spans="1:27">
      <c r="A287" s="179">
        <v>44848</v>
      </c>
      <c r="B287">
        <v>773</v>
      </c>
      <c r="C287" s="316">
        <v>12</v>
      </c>
      <c r="S287" s="180">
        <v>44811</v>
      </c>
      <c r="T287">
        <v>525</v>
      </c>
      <c r="U287" s="316">
        <v>10.75</v>
      </c>
      <c r="Y287" s="319">
        <v>44826</v>
      </c>
      <c r="Z287" s="193">
        <v>405</v>
      </c>
      <c r="AA287" s="194">
        <v>32.25</v>
      </c>
    </row>
    <row r="288" spans="1:27">
      <c r="A288" s="179">
        <v>44848</v>
      </c>
      <c r="B288">
        <v>774</v>
      </c>
      <c r="C288" s="316">
        <v>12</v>
      </c>
      <c r="S288" s="180">
        <v>44811</v>
      </c>
      <c r="T288">
        <v>526</v>
      </c>
      <c r="U288" s="316">
        <v>12.5</v>
      </c>
      <c r="Y288" s="319">
        <v>44826</v>
      </c>
      <c r="Z288" s="193">
        <v>406</v>
      </c>
      <c r="AA288" s="194">
        <v>4.8499999999999996</v>
      </c>
    </row>
    <row r="289" spans="1:27">
      <c r="A289" s="179">
        <v>44848</v>
      </c>
      <c r="B289">
        <v>775</v>
      </c>
      <c r="C289" s="316">
        <v>12.75</v>
      </c>
      <c r="S289" s="180">
        <v>44811</v>
      </c>
      <c r="T289">
        <v>527</v>
      </c>
      <c r="U289" s="316">
        <v>9.5</v>
      </c>
      <c r="Y289" s="318">
        <v>44827</v>
      </c>
      <c r="Z289" s="187">
        <v>407</v>
      </c>
      <c r="AA289" s="224">
        <v>40</v>
      </c>
    </row>
    <row r="290" spans="1:27">
      <c r="A290" s="179">
        <v>44848</v>
      </c>
      <c r="B290">
        <v>776</v>
      </c>
      <c r="C290" s="316">
        <v>10</v>
      </c>
      <c r="S290" s="180">
        <v>44811</v>
      </c>
      <c r="T290">
        <v>528</v>
      </c>
      <c r="U290" s="316">
        <v>10.5</v>
      </c>
      <c r="V290" s="28">
        <f>SUM(U272:U290)</f>
        <v>208.25</v>
      </c>
      <c r="Y290" s="318">
        <v>44827</v>
      </c>
      <c r="Z290" s="187">
        <v>408</v>
      </c>
      <c r="AA290" s="224">
        <v>13.5</v>
      </c>
    </row>
    <row r="291" spans="1:27">
      <c r="A291" s="179">
        <v>44848</v>
      </c>
      <c r="B291">
        <v>777</v>
      </c>
      <c r="C291" s="316">
        <v>12</v>
      </c>
      <c r="S291" s="342">
        <v>44813</v>
      </c>
      <c r="T291" s="196">
        <v>529</v>
      </c>
      <c r="U291" s="197">
        <v>9.75</v>
      </c>
      <c r="Y291" s="318">
        <v>44828</v>
      </c>
      <c r="Z291" s="187">
        <v>409</v>
      </c>
      <c r="AA291" s="224">
        <v>70.5</v>
      </c>
    </row>
    <row r="292" spans="1:27">
      <c r="A292" s="179">
        <v>44848</v>
      </c>
      <c r="B292">
        <v>778</v>
      </c>
      <c r="C292" s="316">
        <v>10.5</v>
      </c>
      <c r="S292" s="342">
        <v>44813</v>
      </c>
      <c r="T292" s="196">
        <v>530</v>
      </c>
      <c r="U292" s="197">
        <v>9</v>
      </c>
      <c r="Y292" s="318">
        <v>44828</v>
      </c>
      <c r="Z292" s="187">
        <v>410</v>
      </c>
      <c r="AA292" s="224">
        <v>27.85</v>
      </c>
    </row>
    <row r="293" spans="1:27">
      <c r="A293" s="179">
        <v>44848</v>
      </c>
      <c r="B293">
        <v>779</v>
      </c>
      <c r="C293" s="316">
        <v>11.5</v>
      </c>
      <c r="S293" s="342">
        <v>44813</v>
      </c>
      <c r="T293" s="196">
        <v>531</v>
      </c>
      <c r="U293" s="197">
        <v>10.5</v>
      </c>
      <c r="Y293" s="318">
        <v>44828</v>
      </c>
      <c r="Z293" s="187">
        <v>411</v>
      </c>
      <c r="AA293" s="224">
        <v>9.6</v>
      </c>
    </row>
    <row r="294" spans="1:27">
      <c r="A294" s="179">
        <v>44848</v>
      </c>
      <c r="B294">
        <v>780</v>
      </c>
      <c r="C294" s="316">
        <v>12</v>
      </c>
      <c r="S294" s="342">
        <v>44813</v>
      </c>
      <c r="T294" s="196">
        <v>532</v>
      </c>
      <c r="U294" s="197">
        <v>10.25</v>
      </c>
      <c r="Y294" s="318">
        <v>44828</v>
      </c>
      <c r="Z294" s="187">
        <v>412</v>
      </c>
      <c r="AA294" s="224">
        <v>4.55</v>
      </c>
    </row>
    <row r="295" spans="1:27">
      <c r="A295" s="179">
        <v>44848</v>
      </c>
      <c r="B295">
        <v>781</v>
      </c>
      <c r="C295" s="316">
        <v>11</v>
      </c>
      <c r="S295" s="342">
        <v>44813</v>
      </c>
      <c r="T295" s="196">
        <v>533</v>
      </c>
      <c r="U295" s="197">
        <v>9.25</v>
      </c>
      <c r="Y295" s="344">
        <v>44829</v>
      </c>
      <c r="Z295" s="345">
        <v>413</v>
      </c>
      <c r="AA295" s="346">
        <v>19.600000000000001</v>
      </c>
    </row>
    <row r="296" spans="1:27">
      <c r="A296" s="179">
        <v>44848</v>
      </c>
      <c r="B296">
        <v>782</v>
      </c>
      <c r="C296" s="316">
        <v>10</v>
      </c>
      <c r="S296" s="342">
        <v>44813</v>
      </c>
      <c r="T296" s="196">
        <v>534</v>
      </c>
      <c r="U296" s="197">
        <v>11.75</v>
      </c>
      <c r="Y296" s="344">
        <v>44829</v>
      </c>
      <c r="Z296" s="345">
        <v>414</v>
      </c>
      <c r="AA296" s="346">
        <v>5.8</v>
      </c>
    </row>
    <row r="297" spans="1:27">
      <c r="A297" s="179">
        <v>44848</v>
      </c>
      <c r="B297">
        <v>783</v>
      </c>
      <c r="C297" s="316">
        <v>10.25</v>
      </c>
      <c r="S297" s="342">
        <v>44813</v>
      </c>
      <c r="T297" s="196">
        <v>535</v>
      </c>
      <c r="U297" s="197">
        <v>10</v>
      </c>
      <c r="Y297" s="344">
        <v>44830</v>
      </c>
      <c r="Z297" s="345">
        <v>415</v>
      </c>
      <c r="AA297" s="346">
        <v>9</v>
      </c>
    </row>
    <row r="298" spans="1:27">
      <c r="A298" s="179">
        <v>44848</v>
      </c>
      <c r="B298">
        <v>784</v>
      </c>
      <c r="C298" s="316">
        <v>11.25</v>
      </c>
      <c r="S298" s="342">
        <v>44813</v>
      </c>
      <c r="T298" s="196">
        <v>536</v>
      </c>
      <c r="U298" s="197">
        <v>9.5</v>
      </c>
      <c r="Y298" s="344">
        <v>44830</v>
      </c>
      <c r="Z298" s="345">
        <v>416</v>
      </c>
      <c r="AA298" s="346">
        <v>14.5</v>
      </c>
    </row>
    <row r="299" spans="1:27">
      <c r="A299" s="179">
        <v>44848</v>
      </c>
      <c r="B299">
        <v>785</v>
      </c>
      <c r="C299" s="316">
        <v>11</v>
      </c>
      <c r="S299" s="342">
        <v>44813</v>
      </c>
      <c r="T299" s="196">
        <v>537</v>
      </c>
      <c r="U299" s="197">
        <v>8</v>
      </c>
      <c r="Y299" s="320">
        <v>44831</v>
      </c>
      <c r="Z299" s="236">
        <v>417</v>
      </c>
      <c r="AA299" s="237">
        <v>30.5</v>
      </c>
    </row>
    <row r="300" spans="1:27">
      <c r="A300" s="179">
        <v>44848</v>
      </c>
      <c r="B300">
        <v>786</v>
      </c>
      <c r="C300" s="316">
        <v>10.75</v>
      </c>
      <c r="S300" s="342">
        <v>44813</v>
      </c>
      <c r="T300" s="196">
        <v>538</v>
      </c>
      <c r="U300" s="197">
        <v>9</v>
      </c>
      <c r="Y300" s="320">
        <v>44831</v>
      </c>
      <c r="Z300" s="236">
        <v>418</v>
      </c>
      <c r="AA300" s="237">
        <v>9.25</v>
      </c>
    </row>
    <row r="301" spans="1:27">
      <c r="A301" s="179">
        <v>44848</v>
      </c>
      <c r="B301">
        <v>787</v>
      </c>
      <c r="C301" s="316">
        <v>10</v>
      </c>
      <c r="S301" s="342">
        <v>44813</v>
      </c>
      <c r="T301" s="196">
        <v>539</v>
      </c>
      <c r="U301" s="197">
        <v>8.75</v>
      </c>
      <c r="Y301" s="320">
        <v>44832</v>
      </c>
      <c r="Z301" s="236">
        <v>419</v>
      </c>
      <c r="AA301" s="237">
        <v>7.35</v>
      </c>
    </row>
    <row r="302" spans="1:27">
      <c r="A302" s="179">
        <v>44848</v>
      </c>
      <c r="B302">
        <v>788</v>
      </c>
      <c r="C302" s="316">
        <v>12</v>
      </c>
      <c r="S302" s="342">
        <v>44813</v>
      </c>
      <c r="T302" s="196">
        <v>540</v>
      </c>
      <c r="U302" s="197">
        <v>10</v>
      </c>
      <c r="Y302" s="320">
        <v>44832</v>
      </c>
      <c r="Z302" s="236">
        <v>420</v>
      </c>
      <c r="AA302" s="237">
        <v>9.25</v>
      </c>
    </row>
    <row r="303" spans="1:27">
      <c r="A303" s="179">
        <v>44848</v>
      </c>
      <c r="B303">
        <v>789</v>
      </c>
      <c r="C303" s="316">
        <v>10</v>
      </c>
      <c r="S303" s="342">
        <v>44813</v>
      </c>
      <c r="T303" s="196">
        <v>541</v>
      </c>
      <c r="U303" s="197">
        <v>10</v>
      </c>
      <c r="Y303" s="320">
        <v>44832</v>
      </c>
      <c r="Z303" s="236">
        <v>421</v>
      </c>
      <c r="AA303" s="237">
        <v>56</v>
      </c>
    </row>
    <row r="304" spans="1:27">
      <c r="A304" s="179">
        <v>44848</v>
      </c>
      <c r="B304">
        <v>790</v>
      </c>
      <c r="C304" s="316">
        <v>13</v>
      </c>
      <c r="S304" s="342">
        <v>44813</v>
      </c>
      <c r="T304" s="196">
        <v>542</v>
      </c>
      <c r="U304" s="197">
        <v>10</v>
      </c>
      <c r="Y304" s="180">
        <v>44833</v>
      </c>
      <c r="Z304">
        <v>422</v>
      </c>
      <c r="AA304" s="316">
        <v>45.75</v>
      </c>
    </row>
    <row r="305" spans="1:27">
      <c r="A305" s="179">
        <v>44848</v>
      </c>
      <c r="B305">
        <v>791</v>
      </c>
      <c r="C305" s="316">
        <v>13</v>
      </c>
      <c r="S305" s="342">
        <v>44813</v>
      </c>
      <c r="T305" s="196">
        <v>543</v>
      </c>
      <c r="U305" s="197">
        <v>8.75</v>
      </c>
      <c r="Y305" s="180">
        <v>44833</v>
      </c>
      <c r="Z305">
        <v>423</v>
      </c>
      <c r="AA305" s="316">
        <v>11</v>
      </c>
    </row>
    <row r="306" spans="1:27">
      <c r="A306" s="179">
        <v>44848</v>
      </c>
      <c r="B306">
        <v>792</v>
      </c>
      <c r="C306" s="316">
        <v>12</v>
      </c>
      <c r="S306" s="342">
        <v>44813</v>
      </c>
      <c r="T306" s="196">
        <v>544</v>
      </c>
      <c r="U306" s="197">
        <v>12</v>
      </c>
      <c r="Y306" s="180">
        <v>44833</v>
      </c>
      <c r="Z306">
        <v>424</v>
      </c>
      <c r="AA306" s="316">
        <v>42.5</v>
      </c>
    </row>
    <row r="307" spans="1:27">
      <c r="A307" s="179">
        <v>44848</v>
      </c>
      <c r="B307">
        <v>793</v>
      </c>
      <c r="C307" s="316">
        <v>12.25</v>
      </c>
      <c r="D307" s="28">
        <f>SUM(C266:C307)</f>
        <v>440</v>
      </c>
      <c r="S307" s="342">
        <v>44813</v>
      </c>
      <c r="T307" s="196">
        <v>545</v>
      </c>
      <c r="U307" s="197">
        <v>12.25</v>
      </c>
      <c r="Y307" s="180">
        <v>44834</v>
      </c>
      <c r="Z307">
        <v>425</v>
      </c>
      <c r="AA307" s="316">
        <v>18</v>
      </c>
    </row>
    <row r="308" spans="1:27">
      <c r="A308" s="179">
        <v>44855</v>
      </c>
      <c r="B308">
        <v>794</v>
      </c>
      <c r="C308" s="316">
        <v>11.5</v>
      </c>
      <c r="S308" s="342">
        <v>44813</v>
      </c>
      <c r="T308" s="196">
        <v>546</v>
      </c>
      <c r="U308" s="197">
        <v>10</v>
      </c>
      <c r="Y308" s="180">
        <v>44834</v>
      </c>
      <c r="Z308">
        <v>426</v>
      </c>
      <c r="AA308" s="316">
        <v>2.35</v>
      </c>
    </row>
    <row r="309" spans="1:27">
      <c r="A309" s="179">
        <v>44855</v>
      </c>
      <c r="B309">
        <v>795</v>
      </c>
      <c r="C309" s="316">
        <v>12</v>
      </c>
      <c r="S309" s="342">
        <v>44813</v>
      </c>
      <c r="T309" s="196">
        <v>547</v>
      </c>
      <c r="U309" s="197">
        <v>12</v>
      </c>
      <c r="AA309" s="316"/>
    </row>
    <row r="310" spans="1:27">
      <c r="A310" s="179">
        <v>44855</v>
      </c>
      <c r="B310">
        <v>796</v>
      </c>
      <c r="C310" s="316">
        <v>12</v>
      </c>
      <c r="S310" s="342">
        <v>44813</v>
      </c>
      <c r="T310" s="196">
        <v>548</v>
      </c>
      <c r="U310" s="197">
        <v>10</v>
      </c>
      <c r="AA310" s="316"/>
    </row>
    <row r="311" spans="1:27">
      <c r="A311" s="179">
        <v>44855</v>
      </c>
      <c r="B311">
        <v>797</v>
      </c>
      <c r="C311" s="316">
        <v>10</v>
      </c>
      <c r="S311" s="342">
        <v>44813</v>
      </c>
      <c r="T311" s="196">
        <v>549</v>
      </c>
      <c r="U311" s="197">
        <v>10</v>
      </c>
      <c r="AA311" s="316">
        <f>SUM(AA245:AA310)</f>
        <v>1149.1999999999998</v>
      </c>
    </row>
    <row r="312" spans="1:27">
      <c r="A312" s="179">
        <v>44855</v>
      </c>
      <c r="B312">
        <v>798</v>
      </c>
      <c r="C312" s="316">
        <v>10</v>
      </c>
      <c r="S312" s="342">
        <v>44813</v>
      </c>
      <c r="T312" s="196">
        <v>550</v>
      </c>
      <c r="U312" s="197">
        <v>11</v>
      </c>
      <c r="AA312" s="316"/>
    </row>
    <row r="313" spans="1:27">
      <c r="A313" s="179">
        <v>44855</v>
      </c>
      <c r="B313">
        <v>799</v>
      </c>
      <c r="C313" s="316">
        <v>14.5</v>
      </c>
      <c r="S313" s="342">
        <v>44813</v>
      </c>
      <c r="T313" s="196">
        <v>551</v>
      </c>
      <c r="U313" s="197">
        <v>10</v>
      </c>
      <c r="AA313" s="316"/>
    </row>
    <row r="314" spans="1:27">
      <c r="A314" s="179">
        <v>44855</v>
      </c>
      <c r="B314">
        <v>800</v>
      </c>
      <c r="C314" s="316">
        <v>11.25</v>
      </c>
      <c r="S314" s="342">
        <v>44813</v>
      </c>
      <c r="T314" s="196">
        <v>552</v>
      </c>
      <c r="U314" s="197">
        <v>10</v>
      </c>
      <c r="AA314" s="316"/>
    </row>
    <row r="315" spans="1:27" ht="15.6">
      <c r="A315" s="179">
        <v>44855</v>
      </c>
      <c r="B315">
        <v>801</v>
      </c>
      <c r="C315" s="316">
        <v>10</v>
      </c>
      <c r="S315" s="342">
        <v>44813</v>
      </c>
      <c r="T315" s="196">
        <v>553</v>
      </c>
      <c r="U315" s="197">
        <v>11.75</v>
      </c>
      <c r="AA315" s="347">
        <f>U454+AA311</f>
        <v>3462.45</v>
      </c>
    </row>
    <row r="316" spans="1:27">
      <c r="A316" s="179">
        <v>44855</v>
      </c>
      <c r="B316">
        <v>802</v>
      </c>
      <c r="C316" s="316">
        <v>10</v>
      </c>
      <c r="S316" s="342">
        <v>44813</v>
      </c>
      <c r="T316" s="196">
        <v>554</v>
      </c>
      <c r="U316" s="197">
        <v>11</v>
      </c>
      <c r="AA316" s="316"/>
    </row>
    <row r="317" spans="1:27">
      <c r="A317" s="179">
        <v>44855</v>
      </c>
      <c r="B317">
        <v>803</v>
      </c>
      <c r="C317" s="316">
        <v>11</v>
      </c>
      <c r="S317" s="342">
        <v>44813</v>
      </c>
      <c r="T317" s="196">
        <v>555</v>
      </c>
      <c r="U317" s="197">
        <v>10</v>
      </c>
      <c r="AA317" s="316"/>
    </row>
    <row r="318" spans="1:27">
      <c r="A318" s="179">
        <v>44855</v>
      </c>
      <c r="B318">
        <v>804</v>
      </c>
      <c r="C318" s="316">
        <v>10</v>
      </c>
      <c r="S318" s="342">
        <v>44813</v>
      </c>
      <c r="T318" s="196">
        <v>556</v>
      </c>
      <c r="U318" s="197">
        <v>10</v>
      </c>
      <c r="AA318" s="316"/>
    </row>
    <row r="319" spans="1:27">
      <c r="A319" s="179">
        <v>44855</v>
      </c>
      <c r="B319">
        <v>805</v>
      </c>
      <c r="C319" s="316">
        <v>11.25</v>
      </c>
      <c r="S319" s="342">
        <v>44813</v>
      </c>
      <c r="T319" s="196">
        <v>557</v>
      </c>
      <c r="U319" s="197">
        <v>10.75</v>
      </c>
      <c r="V319" s="28">
        <f>SUM(U291:U319)</f>
        <v>295.25</v>
      </c>
      <c r="AA319" s="316"/>
    </row>
    <row r="320" spans="1:27">
      <c r="A320" s="179">
        <v>44855</v>
      </c>
      <c r="B320">
        <v>806</v>
      </c>
      <c r="C320" s="316">
        <v>11.25</v>
      </c>
      <c r="S320" s="320">
        <v>44818</v>
      </c>
      <c r="T320" s="236">
        <v>558</v>
      </c>
      <c r="U320" s="237">
        <v>10</v>
      </c>
      <c r="AA320" s="316"/>
    </row>
    <row r="321" spans="1:27">
      <c r="A321" s="179">
        <v>44855</v>
      </c>
      <c r="B321">
        <v>807</v>
      </c>
      <c r="C321" s="316">
        <v>11.25</v>
      </c>
      <c r="S321" s="320">
        <v>44818</v>
      </c>
      <c r="T321" s="236">
        <v>559</v>
      </c>
      <c r="U321" s="237">
        <v>10</v>
      </c>
      <c r="AA321" s="316"/>
    </row>
    <row r="322" spans="1:27">
      <c r="A322" s="179">
        <v>44855</v>
      </c>
      <c r="B322">
        <v>808</v>
      </c>
      <c r="C322" s="316">
        <v>10</v>
      </c>
      <c r="S322" s="320">
        <v>44818</v>
      </c>
      <c r="T322" s="236">
        <v>560</v>
      </c>
      <c r="U322" s="237">
        <v>10</v>
      </c>
      <c r="AA322" s="316"/>
    </row>
    <row r="323" spans="1:27">
      <c r="A323" s="179">
        <v>44855</v>
      </c>
      <c r="B323">
        <v>809</v>
      </c>
      <c r="C323" s="316">
        <v>12</v>
      </c>
      <c r="S323" s="320">
        <v>44818</v>
      </c>
      <c r="T323" s="236">
        <v>561</v>
      </c>
      <c r="U323" s="237">
        <v>10</v>
      </c>
      <c r="AA323" s="316"/>
    </row>
    <row r="324" spans="1:27">
      <c r="A324" s="179">
        <v>44855</v>
      </c>
      <c r="B324">
        <v>810</v>
      </c>
      <c r="C324" s="316">
        <v>10</v>
      </c>
      <c r="S324" s="320">
        <v>44818</v>
      </c>
      <c r="T324" s="236">
        <v>562</v>
      </c>
      <c r="U324" s="237">
        <v>10</v>
      </c>
      <c r="AA324" s="316"/>
    </row>
    <row r="325" spans="1:27">
      <c r="A325" s="179">
        <v>44855</v>
      </c>
      <c r="B325">
        <v>811</v>
      </c>
      <c r="C325" s="316">
        <v>10</v>
      </c>
      <c r="S325" s="320">
        <v>44818</v>
      </c>
      <c r="T325" s="236">
        <v>563</v>
      </c>
      <c r="U325" s="237">
        <v>10.5</v>
      </c>
      <c r="AA325" s="316"/>
    </row>
    <row r="326" spans="1:27">
      <c r="A326" s="179">
        <v>44855</v>
      </c>
      <c r="B326">
        <v>812</v>
      </c>
      <c r="C326" s="316">
        <v>10</v>
      </c>
      <c r="S326" s="320">
        <v>44818</v>
      </c>
      <c r="T326" s="236">
        <v>564</v>
      </c>
      <c r="U326" s="237">
        <v>10.5</v>
      </c>
      <c r="AA326" s="316"/>
    </row>
    <row r="327" spans="1:27">
      <c r="A327" s="179">
        <v>44855</v>
      </c>
      <c r="B327">
        <v>813</v>
      </c>
      <c r="C327" s="316">
        <v>12</v>
      </c>
      <c r="S327" s="320">
        <v>44818</v>
      </c>
      <c r="T327" s="236">
        <v>565</v>
      </c>
      <c r="U327" s="237">
        <v>10.5</v>
      </c>
      <c r="AA327" s="316"/>
    </row>
    <row r="328" spans="1:27">
      <c r="A328" s="179">
        <v>44855</v>
      </c>
      <c r="B328">
        <v>814</v>
      </c>
      <c r="C328" s="316">
        <v>12</v>
      </c>
      <c r="S328" s="320">
        <v>44818</v>
      </c>
      <c r="T328" s="236">
        <v>566</v>
      </c>
      <c r="U328" s="237">
        <v>10.25</v>
      </c>
      <c r="AA328" s="316"/>
    </row>
    <row r="329" spans="1:27">
      <c r="A329" s="179">
        <v>44855</v>
      </c>
      <c r="B329">
        <v>815</v>
      </c>
      <c r="C329" s="316">
        <v>11.25</v>
      </c>
      <c r="D329" s="28">
        <f>SUM(C308:C329)</f>
        <v>243.25</v>
      </c>
      <c r="S329" s="320">
        <v>44818</v>
      </c>
      <c r="T329" s="236">
        <v>567</v>
      </c>
      <c r="U329" s="237">
        <v>10.5</v>
      </c>
      <c r="AA329" s="316"/>
    </row>
    <row r="330" spans="1:27">
      <c r="A330" s="179">
        <v>44860</v>
      </c>
      <c r="B330">
        <v>816</v>
      </c>
      <c r="C330" s="316">
        <v>14</v>
      </c>
      <c r="S330" s="320">
        <v>44818</v>
      </c>
      <c r="T330" s="236">
        <v>568</v>
      </c>
      <c r="U330" s="237">
        <v>10.75</v>
      </c>
      <c r="AA330" s="316"/>
    </row>
    <row r="331" spans="1:27">
      <c r="A331" s="179">
        <v>44860</v>
      </c>
      <c r="B331">
        <v>817</v>
      </c>
      <c r="C331" s="316">
        <v>11.5</v>
      </c>
      <c r="S331" s="320">
        <v>44818</v>
      </c>
      <c r="T331" s="236">
        <v>569</v>
      </c>
      <c r="U331" s="237">
        <v>10</v>
      </c>
      <c r="AA331" s="316"/>
    </row>
    <row r="332" spans="1:27">
      <c r="A332" s="179">
        <v>44860</v>
      </c>
      <c r="B332">
        <v>818</v>
      </c>
      <c r="C332" s="316">
        <v>10.5</v>
      </c>
      <c r="S332" s="320">
        <v>44818</v>
      </c>
      <c r="T332" s="236">
        <v>570</v>
      </c>
      <c r="U332" s="237">
        <v>10.5</v>
      </c>
      <c r="AA332" s="316"/>
    </row>
    <row r="333" spans="1:27">
      <c r="A333" s="179">
        <v>44860</v>
      </c>
      <c r="B333">
        <v>819</v>
      </c>
      <c r="C333" s="316">
        <v>10.75</v>
      </c>
      <c r="S333" s="320">
        <v>44818</v>
      </c>
      <c r="T333" s="236">
        <v>571</v>
      </c>
      <c r="U333" s="237">
        <v>12.5</v>
      </c>
      <c r="AA333" s="316"/>
    </row>
    <row r="334" spans="1:27">
      <c r="A334" s="179">
        <v>44860</v>
      </c>
      <c r="B334">
        <v>820</v>
      </c>
      <c r="C334" s="316">
        <v>10</v>
      </c>
      <c r="S334" s="320">
        <v>44818</v>
      </c>
      <c r="T334" s="236">
        <v>572</v>
      </c>
      <c r="U334" s="237">
        <v>11</v>
      </c>
      <c r="AA334" s="316"/>
    </row>
    <row r="335" spans="1:27">
      <c r="A335" s="179">
        <v>44860</v>
      </c>
      <c r="B335">
        <v>821</v>
      </c>
      <c r="C335" s="316">
        <v>10.75</v>
      </c>
      <c r="S335" s="320">
        <v>44818</v>
      </c>
      <c r="T335" s="236">
        <v>573</v>
      </c>
      <c r="U335" s="237">
        <v>9.75</v>
      </c>
      <c r="AA335" s="316"/>
    </row>
    <row r="336" spans="1:27">
      <c r="A336" s="179">
        <v>44860</v>
      </c>
      <c r="B336">
        <v>822</v>
      </c>
      <c r="C336" s="316">
        <v>11.5</v>
      </c>
      <c r="S336" s="320">
        <v>44818</v>
      </c>
      <c r="T336" s="236">
        <v>574</v>
      </c>
      <c r="U336" s="237">
        <v>12</v>
      </c>
      <c r="AA336" s="316"/>
    </row>
    <row r="337" spans="1:27">
      <c r="A337" s="179">
        <v>44860</v>
      </c>
      <c r="B337">
        <v>823</v>
      </c>
      <c r="C337" s="316">
        <v>13.5</v>
      </c>
      <c r="S337" s="320">
        <v>44818</v>
      </c>
      <c r="T337" s="236">
        <v>575</v>
      </c>
      <c r="U337" s="237">
        <v>11.5</v>
      </c>
      <c r="AA337" s="316"/>
    </row>
    <row r="338" spans="1:27">
      <c r="A338" s="179">
        <v>44860</v>
      </c>
      <c r="B338">
        <v>824</v>
      </c>
      <c r="C338" s="316">
        <v>11</v>
      </c>
      <c r="S338" s="320">
        <v>44818</v>
      </c>
      <c r="T338" s="236">
        <v>576</v>
      </c>
      <c r="U338" s="237">
        <v>9.75</v>
      </c>
      <c r="AA338" s="316"/>
    </row>
    <row r="339" spans="1:27">
      <c r="A339" s="179">
        <v>44860</v>
      </c>
      <c r="B339">
        <v>825</v>
      </c>
      <c r="C339" s="316">
        <v>13</v>
      </c>
      <c r="S339" s="320">
        <v>44818</v>
      </c>
      <c r="T339" s="236">
        <v>577</v>
      </c>
      <c r="U339" s="237">
        <v>11.25</v>
      </c>
      <c r="V339" s="28">
        <f>SUM(U320:U339)</f>
        <v>211.25</v>
      </c>
      <c r="AA339" s="316"/>
    </row>
    <row r="340" spans="1:27">
      <c r="A340" s="179">
        <v>44860</v>
      </c>
      <c r="B340">
        <v>826</v>
      </c>
      <c r="C340" s="316">
        <v>11.75</v>
      </c>
      <c r="S340" s="319">
        <v>44820</v>
      </c>
      <c r="T340" s="193">
        <v>578</v>
      </c>
      <c r="U340" s="194">
        <v>10.5</v>
      </c>
      <c r="AA340" s="316"/>
    </row>
    <row r="341" spans="1:27">
      <c r="A341" s="179">
        <v>44860</v>
      </c>
      <c r="B341">
        <v>827</v>
      </c>
      <c r="C341" s="316">
        <v>11.75</v>
      </c>
      <c r="S341" s="319">
        <v>44820</v>
      </c>
      <c r="T341" s="193">
        <v>579</v>
      </c>
      <c r="U341" s="194">
        <v>11.25</v>
      </c>
      <c r="AA341" s="316"/>
    </row>
    <row r="342" spans="1:27">
      <c r="A342" s="179">
        <v>44860</v>
      </c>
      <c r="B342">
        <v>828</v>
      </c>
      <c r="C342" s="316">
        <v>12</v>
      </c>
      <c r="S342" s="319">
        <v>44820</v>
      </c>
      <c r="T342" s="193">
        <v>580</v>
      </c>
      <c r="U342" s="194">
        <v>12</v>
      </c>
      <c r="AA342" s="316"/>
    </row>
    <row r="343" spans="1:27">
      <c r="A343" s="179">
        <v>44860</v>
      </c>
      <c r="B343">
        <v>829</v>
      </c>
      <c r="C343" s="316">
        <v>11.75</v>
      </c>
      <c r="S343" s="319">
        <v>44820</v>
      </c>
      <c r="T343" s="193">
        <v>581</v>
      </c>
      <c r="U343" s="194">
        <v>12</v>
      </c>
      <c r="AA343" s="316"/>
    </row>
    <row r="344" spans="1:27">
      <c r="A344" s="179">
        <v>44860</v>
      </c>
      <c r="B344">
        <v>830</v>
      </c>
      <c r="C344" s="316">
        <v>10.5</v>
      </c>
      <c r="S344" s="319">
        <v>44820</v>
      </c>
      <c r="T344" s="193">
        <v>582</v>
      </c>
      <c r="U344" s="194">
        <v>11</v>
      </c>
      <c r="AA344" s="316"/>
    </row>
    <row r="345" spans="1:27">
      <c r="A345" s="179">
        <v>44860</v>
      </c>
      <c r="B345">
        <v>831</v>
      </c>
      <c r="C345" s="316">
        <v>14.5</v>
      </c>
      <c r="S345" s="319">
        <v>44820</v>
      </c>
      <c r="T345" s="193">
        <v>583</v>
      </c>
      <c r="U345" s="194">
        <v>8.5</v>
      </c>
      <c r="AA345" s="316"/>
    </row>
    <row r="346" spans="1:27">
      <c r="A346" s="179">
        <v>44860</v>
      </c>
      <c r="B346">
        <v>832</v>
      </c>
      <c r="C346" s="316">
        <v>12</v>
      </c>
      <c r="S346" s="319">
        <v>44820</v>
      </c>
      <c r="T346" s="193">
        <v>584</v>
      </c>
      <c r="U346" s="194">
        <v>8</v>
      </c>
      <c r="AA346" s="316"/>
    </row>
    <row r="347" spans="1:27">
      <c r="A347" s="179">
        <v>44860</v>
      </c>
      <c r="B347">
        <v>833</v>
      </c>
      <c r="C347" s="316">
        <v>10</v>
      </c>
      <c r="S347" s="319">
        <v>44820</v>
      </c>
      <c r="T347" s="193">
        <v>585</v>
      </c>
      <c r="U347" s="194">
        <v>12</v>
      </c>
      <c r="AA347" s="316"/>
    </row>
    <row r="348" spans="1:27">
      <c r="A348" s="179">
        <v>44860</v>
      </c>
      <c r="B348">
        <v>834</v>
      </c>
      <c r="C348" s="316">
        <v>10</v>
      </c>
      <c r="S348" s="319">
        <v>44820</v>
      </c>
      <c r="T348" s="193">
        <v>586</v>
      </c>
      <c r="U348" s="194">
        <v>10.5</v>
      </c>
      <c r="AA348" s="316"/>
    </row>
    <row r="349" spans="1:27">
      <c r="A349" s="179">
        <v>44860</v>
      </c>
      <c r="B349">
        <v>835</v>
      </c>
      <c r="C349" s="316">
        <v>7</v>
      </c>
      <c r="S349" s="319">
        <v>44820</v>
      </c>
      <c r="T349" s="193">
        <v>587</v>
      </c>
      <c r="U349" s="194">
        <v>10</v>
      </c>
      <c r="AA349" s="316"/>
    </row>
    <row r="350" spans="1:27">
      <c r="A350" s="179">
        <v>44860</v>
      </c>
      <c r="B350">
        <v>836</v>
      </c>
      <c r="C350" s="316">
        <v>11.5</v>
      </c>
      <c r="D350" s="28">
        <f>SUM(C330:C350)</f>
        <v>239.25</v>
      </c>
      <c r="S350" s="319">
        <v>44820</v>
      </c>
      <c r="T350" s="193">
        <v>588</v>
      </c>
      <c r="U350" s="194">
        <v>9</v>
      </c>
      <c r="AA350" s="316"/>
    </row>
    <row r="351" spans="1:27">
      <c r="A351" s="179">
        <v>44862</v>
      </c>
      <c r="B351">
        <v>837</v>
      </c>
      <c r="C351" s="316">
        <v>11</v>
      </c>
      <c r="S351" s="319">
        <v>44820</v>
      </c>
      <c r="T351" s="193">
        <v>589</v>
      </c>
      <c r="U351" s="194">
        <v>11.25</v>
      </c>
      <c r="AA351" s="316"/>
    </row>
    <row r="352" spans="1:27">
      <c r="A352" s="179">
        <v>44862</v>
      </c>
      <c r="B352">
        <v>838</v>
      </c>
      <c r="C352" s="316">
        <v>10</v>
      </c>
      <c r="S352" s="319">
        <v>44820</v>
      </c>
      <c r="T352" s="193">
        <v>590</v>
      </c>
      <c r="U352" s="194">
        <v>11</v>
      </c>
      <c r="AA352" s="316"/>
    </row>
    <row r="353" spans="1:22">
      <c r="A353" s="179">
        <v>44862</v>
      </c>
      <c r="B353">
        <v>839</v>
      </c>
      <c r="C353" s="316">
        <v>12</v>
      </c>
      <c r="S353" s="319">
        <v>44820</v>
      </c>
      <c r="T353" s="193">
        <v>591</v>
      </c>
      <c r="U353" s="194">
        <v>12</v>
      </c>
    </row>
    <row r="354" spans="1:22">
      <c r="A354" s="179">
        <v>44862</v>
      </c>
      <c r="B354">
        <v>840</v>
      </c>
      <c r="C354" s="316">
        <v>10</v>
      </c>
      <c r="S354" s="319">
        <v>44820</v>
      </c>
      <c r="T354" s="193">
        <v>592</v>
      </c>
      <c r="U354" s="194">
        <v>12</v>
      </c>
    </row>
    <row r="355" spans="1:22">
      <c r="A355" s="179">
        <v>44862</v>
      </c>
      <c r="B355">
        <v>841</v>
      </c>
      <c r="C355" s="316">
        <v>12</v>
      </c>
      <c r="S355" s="319">
        <v>44820</v>
      </c>
      <c r="T355" s="193">
        <v>593</v>
      </c>
      <c r="U355" s="194">
        <v>11.5</v>
      </c>
    </row>
    <row r="356" spans="1:22">
      <c r="A356" s="179">
        <v>44862</v>
      </c>
      <c r="B356">
        <v>842</v>
      </c>
      <c r="C356" s="316">
        <v>12</v>
      </c>
      <c r="S356" s="319">
        <v>44820</v>
      </c>
      <c r="T356" s="193">
        <v>594</v>
      </c>
      <c r="U356" s="194">
        <v>12</v>
      </c>
    </row>
    <row r="357" spans="1:22">
      <c r="A357" s="179">
        <v>44862</v>
      </c>
      <c r="B357">
        <v>843</v>
      </c>
      <c r="C357" s="316">
        <v>10</v>
      </c>
      <c r="S357" s="319">
        <v>44820</v>
      </c>
      <c r="T357" s="193">
        <v>595</v>
      </c>
      <c r="U357" s="194">
        <v>8</v>
      </c>
    </row>
    <row r="358" spans="1:22">
      <c r="A358" s="179">
        <v>44862</v>
      </c>
      <c r="B358">
        <v>844</v>
      </c>
      <c r="C358" s="316">
        <v>12.25</v>
      </c>
      <c r="S358" s="319">
        <v>44820</v>
      </c>
      <c r="T358" s="193">
        <v>596</v>
      </c>
      <c r="U358" s="194">
        <v>8</v>
      </c>
    </row>
    <row r="359" spans="1:22">
      <c r="A359" s="179">
        <v>44862</v>
      </c>
      <c r="B359">
        <v>845</v>
      </c>
      <c r="C359" s="316">
        <v>10</v>
      </c>
      <c r="S359" s="319">
        <v>44820</v>
      </c>
      <c r="T359" s="193">
        <v>597</v>
      </c>
      <c r="U359" s="194">
        <v>12</v>
      </c>
    </row>
    <row r="360" spans="1:22">
      <c r="A360" s="179">
        <v>44862</v>
      </c>
      <c r="B360">
        <v>846</v>
      </c>
      <c r="C360" s="316">
        <v>10.5</v>
      </c>
      <c r="S360" s="319">
        <v>44820</v>
      </c>
      <c r="T360" s="193">
        <v>598</v>
      </c>
      <c r="U360" s="194">
        <v>10.5</v>
      </c>
    </row>
    <row r="361" spans="1:22">
      <c r="A361" s="179">
        <v>44862</v>
      </c>
      <c r="B361">
        <v>847</v>
      </c>
      <c r="C361" s="316">
        <v>10.5</v>
      </c>
      <c r="S361" s="319">
        <v>44820</v>
      </c>
      <c r="T361" s="193">
        <v>599</v>
      </c>
      <c r="U361" s="194">
        <v>10.25</v>
      </c>
    </row>
    <row r="362" spans="1:22">
      <c r="A362" s="179">
        <v>44862</v>
      </c>
      <c r="B362">
        <v>848</v>
      </c>
      <c r="C362" s="316">
        <v>10</v>
      </c>
      <c r="S362" s="319">
        <v>44820</v>
      </c>
      <c r="T362" s="193">
        <v>600</v>
      </c>
      <c r="U362" s="194">
        <v>12</v>
      </c>
    </row>
    <row r="363" spans="1:22">
      <c r="A363" s="179">
        <v>44862</v>
      </c>
      <c r="B363">
        <v>849</v>
      </c>
      <c r="C363" s="316">
        <v>11</v>
      </c>
      <c r="S363" s="319">
        <v>44820</v>
      </c>
      <c r="T363" s="193">
        <v>601</v>
      </c>
      <c r="U363" s="194">
        <v>10.5</v>
      </c>
    </row>
    <row r="364" spans="1:22">
      <c r="A364" s="179">
        <v>44862</v>
      </c>
      <c r="B364">
        <v>850</v>
      </c>
      <c r="C364" s="316">
        <v>10</v>
      </c>
      <c r="S364" s="319">
        <v>44820</v>
      </c>
      <c r="T364" s="193">
        <v>602</v>
      </c>
      <c r="U364" s="194">
        <v>11.75</v>
      </c>
    </row>
    <row r="365" spans="1:22">
      <c r="A365" s="179">
        <v>44862</v>
      </c>
      <c r="B365">
        <v>851</v>
      </c>
      <c r="C365" s="316">
        <v>11</v>
      </c>
      <c r="S365" s="319">
        <v>44820</v>
      </c>
      <c r="T365" s="193">
        <v>603</v>
      </c>
      <c r="U365" s="194">
        <v>11</v>
      </c>
      <c r="V365" s="28">
        <f>SUM(U340:U365)</f>
        <v>278.5</v>
      </c>
    </row>
    <row r="366" spans="1:22">
      <c r="A366" s="179">
        <v>44862</v>
      </c>
      <c r="B366">
        <v>852</v>
      </c>
      <c r="C366" s="316">
        <v>11</v>
      </c>
      <c r="S366" s="343">
        <v>44825</v>
      </c>
      <c r="T366" s="261">
        <v>604</v>
      </c>
      <c r="U366" s="262">
        <v>10</v>
      </c>
    </row>
    <row r="367" spans="1:22">
      <c r="A367" s="179">
        <v>44862</v>
      </c>
      <c r="B367">
        <v>853</v>
      </c>
      <c r="C367" s="316">
        <v>12</v>
      </c>
      <c r="S367" s="343">
        <v>44825</v>
      </c>
      <c r="T367" s="261">
        <v>605</v>
      </c>
      <c r="U367" s="262">
        <v>11</v>
      </c>
    </row>
    <row r="368" spans="1:22">
      <c r="A368" s="179">
        <v>44862</v>
      </c>
      <c r="B368">
        <v>854</v>
      </c>
      <c r="C368" s="316">
        <v>11.25</v>
      </c>
      <c r="S368" s="343">
        <v>44825</v>
      </c>
      <c r="T368" s="261">
        <v>606</v>
      </c>
      <c r="U368" s="262">
        <v>12</v>
      </c>
    </row>
    <row r="369" spans="1:22">
      <c r="A369" s="179">
        <v>44862</v>
      </c>
      <c r="B369">
        <v>855</v>
      </c>
      <c r="C369" s="316">
        <v>11.25</v>
      </c>
      <c r="S369" s="343">
        <v>44825</v>
      </c>
      <c r="T369" s="261">
        <v>607</v>
      </c>
      <c r="U369" s="262">
        <v>12</v>
      </c>
    </row>
    <row r="370" spans="1:22">
      <c r="A370" s="179">
        <v>44862</v>
      </c>
      <c r="B370">
        <v>856</v>
      </c>
      <c r="C370" s="316">
        <v>11</v>
      </c>
      <c r="S370" s="343">
        <v>44825</v>
      </c>
      <c r="T370" s="261">
        <v>608</v>
      </c>
      <c r="U370" s="262">
        <v>11.25</v>
      </c>
    </row>
    <row r="371" spans="1:22">
      <c r="A371" s="179">
        <v>44862</v>
      </c>
      <c r="B371">
        <v>857</v>
      </c>
      <c r="C371" s="316">
        <v>11.75</v>
      </c>
      <c r="S371" s="343">
        <v>44825</v>
      </c>
      <c r="T371" s="261">
        <v>609</v>
      </c>
      <c r="U371" s="262">
        <v>12.5</v>
      </c>
    </row>
    <row r="372" spans="1:22">
      <c r="A372" s="179">
        <v>44862</v>
      </c>
      <c r="B372">
        <v>858</v>
      </c>
      <c r="C372" s="316">
        <v>11</v>
      </c>
      <c r="S372" s="343">
        <v>44825</v>
      </c>
      <c r="T372" s="261">
        <v>610</v>
      </c>
      <c r="U372" s="262">
        <v>11</v>
      </c>
    </row>
    <row r="373" spans="1:22">
      <c r="A373" s="179">
        <v>44862</v>
      </c>
      <c r="B373">
        <v>859</v>
      </c>
      <c r="C373" s="316">
        <v>12.5</v>
      </c>
      <c r="S373" s="343">
        <v>44825</v>
      </c>
      <c r="T373" s="261">
        <v>611</v>
      </c>
      <c r="U373" s="262">
        <v>13.5</v>
      </c>
    </row>
    <row r="374" spans="1:22">
      <c r="A374" s="179">
        <v>44862</v>
      </c>
      <c r="B374">
        <v>860</v>
      </c>
      <c r="C374" s="316">
        <v>10.5</v>
      </c>
      <c r="S374" s="343">
        <v>44825</v>
      </c>
      <c r="T374" s="261">
        <v>612</v>
      </c>
      <c r="U374" s="262">
        <v>10</v>
      </c>
    </row>
    <row r="375" spans="1:22">
      <c r="A375" s="179">
        <v>44862</v>
      </c>
      <c r="B375">
        <v>861</v>
      </c>
      <c r="C375" s="316">
        <v>10.5</v>
      </c>
      <c r="S375" s="343">
        <v>44825</v>
      </c>
      <c r="T375" s="261">
        <v>613</v>
      </c>
      <c r="U375" s="262">
        <v>12</v>
      </c>
    </row>
    <row r="376" spans="1:22">
      <c r="A376" s="179">
        <v>44862</v>
      </c>
      <c r="B376">
        <v>862</v>
      </c>
      <c r="C376" s="316">
        <v>13.5</v>
      </c>
      <c r="D376" s="28">
        <f>SUM(C351:C376)</f>
        <v>288.5</v>
      </c>
      <c r="S376" s="343">
        <v>44825</v>
      </c>
      <c r="T376" s="261">
        <v>614</v>
      </c>
      <c r="U376" s="262">
        <v>10.5</v>
      </c>
    </row>
    <row r="377" spans="1:22">
      <c r="S377" s="343">
        <v>44825</v>
      </c>
      <c r="T377" s="261">
        <v>615</v>
      </c>
      <c r="U377" s="262">
        <v>10</v>
      </c>
    </row>
    <row r="378" spans="1:22">
      <c r="S378" s="343">
        <v>44825</v>
      </c>
      <c r="T378" s="261">
        <v>616</v>
      </c>
      <c r="U378" s="262">
        <v>11.5</v>
      </c>
    </row>
    <row r="379" spans="1:22">
      <c r="S379" s="343">
        <v>44825</v>
      </c>
      <c r="T379" s="261">
        <v>617</v>
      </c>
      <c r="U379" s="262">
        <v>12.25</v>
      </c>
    </row>
    <row r="380" spans="1:22">
      <c r="S380" s="343">
        <v>44825</v>
      </c>
      <c r="T380" s="261">
        <v>618</v>
      </c>
      <c r="U380" s="262">
        <v>12</v>
      </c>
    </row>
    <row r="381" spans="1:22">
      <c r="S381" s="343">
        <v>44825</v>
      </c>
      <c r="T381" s="261">
        <v>619</v>
      </c>
      <c r="U381" s="262">
        <v>12.25</v>
      </c>
    </row>
    <row r="382" spans="1:22">
      <c r="S382" s="343">
        <v>44825</v>
      </c>
      <c r="T382" s="261">
        <v>620</v>
      </c>
      <c r="U382" s="262">
        <v>10.5</v>
      </c>
    </row>
    <row r="383" spans="1:22">
      <c r="C383" s="220">
        <f>SUM(C206:C382)</f>
        <v>1877.25</v>
      </c>
      <c r="D383" s="220">
        <f>SUM(D206:D382)</f>
        <v>1877.25</v>
      </c>
      <c r="S383" s="343">
        <v>44825</v>
      </c>
      <c r="T383" s="261">
        <v>621</v>
      </c>
      <c r="U383" s="262">
        <v>12</v>
      </c>
      <c r="V383" s="28">
        <f>SUM(U366:U383)</f>
        <v>206.25</v>
      </c>
    </row>
    <row r="384" spans="1:22">
      <c r="D384" s="220">
        <f>H269</f>
        <v>1059.2499999999998</v>
      </c>
      <c r="S384" s="319">
        <v>44827</v>
      </c>
      <c r="T384" s="193">
        <v>622</v>
      </c>
      <c r="U384" s="194">
        <v>13</v>
      </c>
    </row>
    <row r="385" spans="1:21">
      <c r="D385" s="355">
        <f>SUM(D383:D384)</f>
        <v>2936.5</v>
      </c>
      <c r="S385" s="319">
        <v>44827</v>
      </c>
      <c r="T385" s="193">
        <v>623</v>
      </c>
      <c r="U385" s="194">
        <v>11.5</v>
      </c>
    </row>
    <row r="386" spans="1:21">
      <c r="S386" s="319">
        <v>44827</v>
      </c>
      <c r="T386" s="193">
        <v>624</v>
      </c>
      <c r="U386" s="194">
        <v>10.5</v>
      </c>
    </row>
    <row r="387" spans="1:21">
      <c r="S387" s="319">
        <v>44827</v>
      </c>
      <c r="T387" s="193">
        <v>625</v>
      </c>
      <c r="U387" s="194">
        <v>10.75</v>
      </c>
    </row>
    <row r="388" spans="1:21">
      <c r="S388" s="319">
        <v>44827</v>
      </c>
      <c r="T388" s="193">
        <v>626</v>
      </c>
      <c r="U388" s="194">
        <v>12.5</v>
      </c>
    </row>
    <row r="389" spans="1:21">
      <c r="A389" s="180">
        <v>44869</v>
      </c>
      <c r="B389" s="181">
        <v>863</v>
      </c>
      <c r="C389" s="330">
        <v>10.5</v>
      </c>
      <c r="S389" s="319">
        <v>44827</v>
      </c>
      <c r="T389" s="193">
        <v>627</v>
      </c>
      <c r="U389" s="194">
        <v>12</v>
      </c>
    </row>
    <row r="390" spans="1:21">
      <c r="A390" s="180">
        <v>44869</v>
      </c>
      <c r="B390" s="181">
        <v>864</v>
      </c>
      <c r="C390" s="330">
        <v>11</v>
      </c>
      <c r="S390" s="319">
        <v>44827</v>
      </c>
      <c r="T390" s="193">
        <v>628</v>
      </c>
      <c r="U390" s="194">
        <v>12</v>
      </c>
    </row>
    <row r="391" spans="1:21">
      <c r="A391" s="180">
        <v>44869</v>
      </c>
      <c r="B391" s="181">
        <v>865</v>
      </c>
      <c r="C391" s="330">
        <v>11.75</v>
      </c>
      <c r="S391" s="319">
        <v>44827</v>
      </c>
      <c r="T391" s="193">
        <v>629</v>
      </c>
      <c r="U391" s="194">
        <v>12.5</v>
      </c>
    </row>
    <row r="392" spans="1:21">
      <c r="A392" s="180">
        <v>44869</v>
      </c>
      <c r="B392" s="181">
        <v>866</v>
      </c>
      <c r="C392" s="330">
        <v>11.25</v>
      </c>
      <c r="S392" s="319">
        <v>44827</v>
      </c>
      <c r="T392" s="193">
        <v>630</v>
      </c>
      <c r="U392" s="194">
        <v>10.5</v>
      </c>
    </row>
    <row r="393" spans="1:21">
      <c r="A393" s="180">
        <v>44869</v>
      </c>
      <c r="B393" s="181">
        <v>867</v>
      </c>
      <c r="C393" s="330">
        <v>10.75</v>
      </c>
      <c r="S393" s="319">
        <v>44827</v>
      </c>
      <c r="T393" s="193">
        <v>631</v>
      </c>
      <c r="U393" s="194">
        <v>12</v>
      </c>
    </row>
    <row r="394" spans="1:21">
      <c r="A394" s="180">
        <v>44869</v>
      </c>
      <c r="B394" s="181">
        <v>868</v>
      </c>
      <c r="C394" s="330">
        <v>13.75</v>
      </c>
      <c r="S394" s="319">
        <v>44827</v>
      </c>
      <c r="T394" s="193">
        <v>632</v>
      </c>
      <c r="U394" s="194">
        <v>13</v>
      </c>
    </row>
    <row r="395" spans="1:21">
      <c r="A395" s="180">
        <v>44869</v>
      </c>
      <c r="B395" s="181">
        <v>869</v>
      </c>
      <c r="C395" s="330">
        <v>10</v>
      </c>
      <c r="S395" s="319">
        <v>44827</v>
      </c>
      <c r="T395" s="193">
        <v>633</v>
      </c>
      <c r="U395" s="194">
        <v>13.75</v>
      </c>
    </row>
    <row r="396" spans="1:21">
      <c r="A396" s="180">
        <v>44869</v>
      </c>
      <c r="B396" s="181">
        <v>870</v>
      </c>
      <c r="C396" s="330">
        <v>11.25</v>
      </c>
      <c r="S396" s="319">
        <v>44827</v>
      </c>
      <c r="T396" s="193">
        <v>634</v>
      </c>
      <c r="U396" s="194">
        <v>14</v>
      </c>
    </row>
    <row r="397" spans="1:21">
      <c r="A397" s="180">
        <v>44869</v>
      </c>
      <c r="B397" s="181">
        <v>871</v>
      </c>
      <c r="C397" s="330">
        <v>12.5</v>
      </c>
      <c r="S397" s="319">
        <v>44827</v>
      </c>
      <c r="T397" s="193">
        <v>635</v>
      </c>
      <c r="U397" s="194">
        <v>12.5</v>
      </c>
    </row>
    <row r="398" spans="1:21">
      <c r="A398" s="180">
        <v>44869</v>
      </c>
      <c r="B398" s="181">
        <v>872</v>
      </c>
      <c r="C398" s="330">
        <v>12</v>
      </c>
      <c r="S398" s="319">
        <v>44827</v>
      </c>
      <c r="T398" s="193">
        <v>636</v>
      </c>
      <c r="U398" s="194">
        <v>12</v>
      </c>
    </row>
    <row r="399" spans="1:21">
      <c r="A399" s="180">
        <v>44869</v>
      </c>
      <c r="B399" s="181">
        <v>873</v>
      </c>
      <c r="C399" s="330">
        <v>10.5</v>
      </c>
      <c r="S399" s="319">
        <v>44827</v>
      </c>
      <c r="T399" s="193">
        <v>637</v>
      </c>
      <c r="U399" s="194">
        <v>10.5</v>
      </c>
    </row>
    <row r="400" spans="1:21">
      <c r="A400" s="180">
        <v>44869</v>
      </c>
      <c r="B400" s="181">
        <v>874</v>
      </c>
      <c r="C400" s="330">
        <v>10.5</v>
      </c>
      <c r="S400" s="319">
        <v>44827</v>
      </c>
      <c r="T400" s="193">
        <v>638</v>
      </c>
      <c r="U400" s="194">
        <v>12</v>
      </c>
    </row>
    <row r="401" spans="1:22">
      <c r="A401" s="180">
        <v>44869</v>
      </c>
      <c r="B401" s="181">
        <v>875</v>
      </c>
      <c r="C401" s="330">
        <v>13.5</v>
      </c>
      <c r="S401" s="319">
        <v>44827</v>
      </c>
      <c r="T401" s="193">
        <v>639</v>
      </c>
      <c r="U401" s="194">
        <v>13.25</v>
      </c>
    </row>
    <row r="402" spans="1:22">
      <c r="A402" s="180">
        <v>44869</v>
      </c>
      <c r="B402" s="181">
        <v>876</v>
      </c>
      <c r="C402" s="330">
        <v>12</v>
      </c>
      <c r="S402" s="319">
        <v>44827</v>
      </c>
      <c r="T402" s="193">
        <v>640</v>
      </c>
      <c r="U402" s="194">
        <v>14.5</v>
      </c>
    </row>
    <row r="403" spans="1:22">
      <c r="A403" s="180">
        <v>44869</v>
      </c>
      <c r="B403" s="181">
        <v>877</v>
      </c>
      <c r="C403" s="330">
        <v>10.5</v>
      </c>
      <c r="S403" s="319">
        <v>44827</v>
      </c>
      <c r="T403" s="193">
        <v>641</v>
      </c>
      <c r="U403" s="194">
        <v>11.25</v>
      </c>
    </row>
    <row r="404" spans="1:22">
      <c r="A404" s="180">
        <v>44869</v>
      </c>
      <c r="B404" s="181">
        <v>878</v>
      </c>
      <c r="C404" s="330">
        <v>13.5</v>
      </c>
      <c r="S404" s="319">
        <v>44827</v>
      </c>
      <c r="T404" s="193">
        <v>642</v>
      </c>
      <c r="U404" s="194">
        <v>12</v>
      </c>
    </row>
    <row r="405" spans="1:22">
      <c r="A405" s="180">
        <v>44869</v>
      </c>
      <c r="B405" s="181">
        <v>879</v>
      </c>
      <c r="C405" s="330">
        <v>12</v>
      </c>
      <c r="S405" s="319">
        <v>44827</v>
      </c>
      <c r="T405" s="193">
        <v>643</v>
      </c>
      <c r="U405" s="194">
        <v>12.5</v>
      </c>
    </row>
    <row r="406" spans="1:22">
      <c r="A406" s="180">
        <v>44869</v>
      </c>
      <c r="B406" s="181">
        <v>880</v>
      </c>
      <c r="C406" s="330">
        <v>12</v>
      </c>
      <c r="S406" s="319">
        <v>44827</v>
      </c>
      <c r="T406" s="193">
        <v>644</v>
      </c>
      <c r="U406" s="194">
        <v>12</v>
      </c>
    </row>
    <row r="407" spans="1:22">
      <c r="A407" s="180">
        <v>44869</v>
      </c>
      <c r="B407" s="181">
        <v>881</v>
      </c>
      <c r="C407" s="330">
        <v>12.75</v>
      </c>
      <c r="S407" s="319">
        <v>44827</v>
      </c>
      <c r="T407" s="193">
        <v>645</v>
      </c>
      <c r="U407" s="194">
        <v>10.5</v>
      </c>
      <c r="V407" s="28">
        <f>SUM(U384:U407)</f>
        <v>291</v>
      </c>
    </row>
    <row r="408" spans="1:22">
      <c r="A408" s="180">
        <v>44869</v>
      </c>
      <c r="B408" s="181">
        <v>882</v>
      </c>
      <c r="C408" s="330">
        <v>12</v>
      </c>
      <c r="S408" s="180">
        <v>44832</v>
      </c>
      <c r="T408">
        <v>646</v>
      </c>
      <c r="U408" s="316">
        <v>12.75</v>
      </c>
    </row>
    <row r="409" spans="1:22">
      <c r="A409" s="180">
        <v>44869</v>
      </c>
      <c r="B409" s="181">
        <v>883</v>
      </c>
      <c r="C409" s="330">
        <v>13.5</v>
      </c>
      <c r="D409" s="28">
        <f>SUM(C389:C409)</f>
        <v>247.5</v>
      </c>
      <c r="S409" s="180">
        <v>44832</v>
      </c>
      <c r="T409">
        <v>647</v>
      </c>
      <c r="U409" s="316">
        <v>11</v>
      </c>
    </row>
    <row r="410" spans="1:22">
      <c r="A410" s="179">
        <v>44874</v>
      </c>
      <c r="B410">
        <v>884</v>
      </c>
      <c r="C410" s="316">
        <v>16.75</v>
      </c>
      <c r="S410" s="180">
        <v>44832</v>
      </c>
      <c r="T410">
        <v>648</v>
      </c>
      <c r="U410" s="316">
        <v>11.25</v>
      </c>
    </row>
    <row r="411" spans="1:22">
      <c r="A411" s="179">
        <v>44874</v>
      </c>
      <c r="B411">
        <v>885</v>
      </c>
      <c r="C411" s="316">
        <v>11</v>
      </c>
      <c r="S411" s="180">
        <v>44832</v>
      </c>
      <c r="T411">
        <v>649</v>
      </c>
      <c r="U411" s="316">
        <v>10</v>
      </c>
    </row>
    <row r="412" spans="1:22">
      <c r="A412" s="179">
        <v>44874</v>
      </c>
      <c r="B412">
        <v>886</v>
      </c>
      <c r="C412" s="316">
        <v>11</v>
      </c>
      <c r="S412" s="180">
        <v>44832</v>
      </c>
      <c r="T412">
        <v>650</v>
      </c>
      <c r="U412" s="316">
        <v>10.75</v>
      </c>
    </row>
    <row r="413" spans="1:22">
      <c r="A413" s="179">
        <v>44874</v>
      </c>
      <c r="B413">
        <v>887</v>
      </c>
      <c r="C413" s="316">
        <v>11</v>
      </c>
      <c r="S413" s="180">
        <v>44832</v>
      </c>
      <c r="T413">
        <v>651</v>
      </c>
      <c r="U413" s="316">
        <v>10.5</v>
      </c>
    </row>
    <row r="414" spans="1:22">
      <c r="A414" s="179">
        <v>44874</v>
      </c>
      <c r="B414">
        <v>888</v>
      </c>
      <c r="C414" s="316">
        <v>11.25</v>
      </c>
      <c r="S414" s="180">
        <v>44832</v>
      </c>
      <c r="T414">
        <v>652</v>
      </c>
      <c r="U414" s="316">
        <v>11.25</v>
      </c>
    </row>
    <row r="415" spans="1:22">
      <c r="A415" s="179">
        <v>44874</v>
      </c>
      <c r="B415">
        <v>889</v>
      </c>
      <c r="C415" s="316">
        <v>10</v>
      </c>
      <c r="S415" s="180">
        <v>44832</v>
      </c>
      <c r="T415">
        <v>653</v>
      </c>
      <c r="U415" s="316">
        <v>10.5</v>
      </c>
    </row>
    <row r="416" spans="1:22">
      <c r="A416" s="179">
        <v>44874</v>
      </c>
      <c r="B416">
        <v>890</v>
      </c>
      <c r="C416" s="316">
        <v>14.5</v>
      </c>
      <c r="S416" s="180">
        <v>44832</v>
      </c>
      <c r="T416">
        <v>654</v>
      </c>
      <c r="U416" s="316">
        <v>10</v>
      </c>
    </row>
    <row r="417" spans="1:21">
      <c r="A417" s="179">
        <v>44874</v>
      </c>
      <c r="B417">
        <v>891</v>
      </c>
      <c r="C417" s="316">
        <v>11</v>
      </c>
      <c r="S417" s="180">
        <v>44832</v>
      </c>
      <c r="T417">
        <v>655</v>
      </c>
      <c r="U417" s="316">
        <v>10.75</v>
      </c>
    </row>
    <row r="418" spans="1:21">
      <c r="A418" s="179">
        <v>44874</v>
      </c>
      <c r="B418">
        <v>892</v>
      </c>
      <c r="C418" s="316">
        <v>12</v>
      </c>
      <c r="S418" s="180">
        <v>44832</v>
      </c>
      <c r="T418">
        <v>656</v>
      </c>
      <c r="U418" s="316">
        <v>10.5</v>
      </c>
    </row>
    <row r="419" spans="1:21">
      <c r="A419" s="179">
        <v>44874</v>
      </c>
      <c r="B419">
        <v>893</v>
      </c>
      <c r="C419" s="316">
        <v>11</v>
      </c>
      <c r="S419" s="180">
        <v>44832</v>
      </c>
      <c r="T419">
        <v>657</v>
      </c>
      <c r="U419" s="316">
        <v>10</v>
      </c>
    </row>
    <row r="420" spans="1:21">
      <c r="A420" s="179">
        <v>44874</v>
      </c>
      <c r="B420">
        <v>894</v>
      </c>
      <c r="C420" s="316">
        <v>11</v>
      </c>
      <c r="S420" s="180">
        <v>44832</v>
      </c>
      <c r="T420">
        <v>658</v>
      </c>
      <c r="U420" s="316">
        <v>10.5</v>
      </c>
    </row>
    <row r="421" spans="1:21">
      <c r="A421" s="179">
        <v>44874</v>
      </c>
      <c r="B421">
        <v>895</v>
      </c>
      <c r="C421" s="316">
        <v>11</v>
      </c>
      <c r="S421" s="180">
        <v>44832</v>
      </c>
      <c r="T421">
        <v>659</v>
      </c>
      <c r="U421" s="316">
        <v>10</v>
      </c>
    </row>
    <row r="422" spans="1:21">
      <c r="A422" s="179">
        <v>44874</v>
      </c>
      <c r="B422">
        <v>896</v>
      </c>
      <c r="C422" s="316">
        <v>11.25</v>
      </c>
      <c r="S422" s="180">
        <v>44832</v>
      </c>
      <c r="T422">
        <v>660</v>
      </c>
      <c r="U422" s="316">
        <v>11.25</v>
      </c>
    </row>
    <row r="423" spans="1:21">
      <c r="A423" s="179">
        <v>44874</v>
      </c>
      <c r="B423">
        <v>897</v>
      </c>
      <c r="C423" s="316">
        <v>11</v>
      </c>
      <c r="S423" s="180">
        <v>44832</v>
      </c>
      <c r="T423">
        <v>661</v>
      </c>
      <c r="U423" s="316">
        <v>10.5</v>
      </c>
    </row>
    <row r="424" spans="1:21">
      <c r="A424" s="179">
        <v>44874</v>
      </c>
      <c r="B424">
        <v>898</v>
      </c>
      <c r="C424" s="316">
        <v>10.5</v>
      </c>
      <c r="S424" s="180">
        <v>44832</v>
      </c>
      <c r="T424">
        <v>662</v>
      </c>
      <c r="U424" s="316">
        <v>12.75</v>
      </c>
    </row>
    <row r="425" spans="1:21">
      <c r="A425" s="179">
        <v>44874</v>
      </c>
      <c r="B425">
        <v>899</v>
      </c>
      <c r="C425" s="316">
        <v>12.5</v>
      </c>
      <c r="S425" s="180">
        <v>44832</v>
      </c>
      <c r="T425">
        <v>663</v>
      </c>
      <c r="U425" s="316">
        <v>11.75</v>
      </c>
    </row>
    <row r="426" spans="1:21">
      <c r="A426" s="179">
        <v>44874</v>
      </c>
      <c r="B426">
        <v>900</v>
      </c>
      <c r="C426" s="316">
        <v>10</v>
      </c>
      <c r="D426" s="28">
        <f>SUM(C410:C426)</f>
        <v>196.75</v>
      </c>
      <c r="S426" s="180">
        <v>44832</v>
      </c>
      <c r="T426">
        <v>664</v>
      </c>
      <c r="U426" s="316">
        <v>10.5</v>
      </c>
    </row>
    <row r="427" spans="1:21">
      <c r="A427" s="180">
        <v>44876</v>
      </c>
      <c r="B427" s="181">
        <v>901</v>
      </c>
      <c r="C427" s="330">
        <v>9</v>
      </c>
      <c r="S427" s="180">
        <v>44832</v>
      </c>
      <c r="T427">
        <v>665</v>
      </c>
      <c r="U427" s="316">
        <v>12.5</v>
      </c>
    </row>
    <row r="428" spans="1:21">
      <c r="A428" s="180">
        <v>44876</v>
      </c>
      <c r="B428" s="181">
        <v>902</v>
      </c>
      <c r="C428" s="330">
        <v>9.5</v>
      </c>
      <c r="S428" s="180">
        <v>44834</v>
      </c>
      <c r="T428">
        <v>666</v>
      </c>
      <c r="U428" s="316">
        <v>9</v>
      </c>
    </row>
    <row r="429" spans="1:21">
      <c r="A429" s="180">
        <v>44876</v>
      </c>
      <c r="B429" s="181">
        <v>903</v>
      </c>
      <c r="C429" s="330">
        <v>10.5</v>
      </c>
      <c r="S429" s="180">
        <v>44832</v>
      </c>
      <c r="T429">
        <v>667</v>
      </c>
      <c r="U429" s="316">
        <v>13.25</v>
      </c>
    </row>
    <row r="430" spans="1:21">
      <c r="A430" s="180">
        <v>44876</v>
      </c>
      <c r="B430" s="181">
        <v>904</v>
      </c>
      <c r="C430" s="330">
        <v>10.25</v>
      </c>
      <c r="S430" s="180">
        <v>44832</v>
      </c>
      <c r="T430">
        <v>668</v>
      </c>
      <c r="U430" s="316">
        <v>10.5</v>
      </c>
    </row>
    <row r="431" spans="1:21">
      <c r="A431" s="180">
        <v>44876</v>
      </c>
      <c r="B431" s="181">
        <v>905</v>
      </c>
      <c r="C431" s="330">
        <v>13</v>
      </c>
      <c r="S431" s="180">
        <v>44832</v>
      </c>
      <c r="T431">
        <v>669</v>
      </c>
      <c r="U431" s="316">
        <v>12.25</v>
      </c>
    </row>
    <row r="432" spans="1:21">
      <c r="A432" s="180">
        <v>44876</v>
      </c>
      <c r="B432" s="181">
        <v>906</v>
      </c>
      <c r="C432" s="330">
        <v>10</v>
      </c>
      <c r="S432" s="180">
        <v>44832</v>
      </c>
      <c r="T432">
        <v>670</v>
      </c>
      <c r="U432" s="316">
        <v>12</v>
      </c>
    </row>
    <row r="433" spans="1:21">
      <c r="A433" s="180">
        <v>44876</v>
      </c>
      <c r="B433" s="181">
        <v>907</v>
      </c>
      <c r="C433" s="330">
        <v>11</v>
      </c>
      <c r="S433" s="180">
        <v>44832</v>
      </c>
      <c r="T433">
        <v>671</v>
      </c>
      <c r="U433" s="316">
        <v>10</v>
      </c>
    </row>
    <row r="434" spans="1:21">
      <c r="A434" s="180">
        <v>44876</v>
      </c>
      <c r="B434" s="181">
        <v>908</v>
      </c>
      <c r="C434" s="330">
        <v>12</v>
      </c>
      <c r="S434" s="180">
        <v>44832</v>
      </c>
      <c r="T434">
        <v>672</v>
      </c>
      <c r="U434" s="316">
        <v>12</v>
      </c>
    </row>
    <row r="435" spans="1:21">
      <c r="A435" s="180">
        <v>44876</v>
      </c>
      <c r="B435" s="181">
        <v>909</v>
      </c>
      <c r="C435" s="330">
        <v>13</v>
      </c>
      <c r="S435" s="180">
        <v>44832</v>
      </c>
      <c r="T435">
        <v>673</v>
      </c>
      <c r="U435" s="316">
        <v>14.25</v>
      </c>
    </row>
    <row r="436" spans="1:21">
      <c r="A436" s="180">
        <v>44876</v>
      </c>
      <c r="B436" s="181">
        <v>910</v>
      </c>
      <c r="C436" s="330">
        <v>10.5</v>
      </c>
      <c r="S436" s="180">
        <v>44832</v>
      </c>
      <c r="T436">
        <v>674</v>
      </c>
      <c r="U436" s="316">
        <v>13.25</v>
      </c>
    </row>
    <row r="437" spans="1:21">
      <c r="A437" s="180">
        <v>44876</v>
      </c>
      <c r="B437" s="181">
        <v>911</v>
      </c>
      <c r="C437" s="330">
        <v>11</v>
      </c>
      <c r="S437" s="180">
        <v>44832</v>
      </c>
      <c r="T437">
        <v>675</v>
      </c>
      <c r="U437" s="316">
        <v>10.75</v>
      </c>
    </row>
    <row r="438" spans="1:21">
      <c r="A438" s="180">
        <v>44876</v>
      </c>
      <c r="B438" s="181">
        <v>912</v>
      </c>
      <c r="C438" s="330">
        <v>10.75</v>
      </c>
      <c r="S438" s="180">
        <v>44832</v>
      </c>
      <c r="T438">
        <v>676</v>
      </c>
      <c r="U438" s="316">
        <v>12</v>
      </c>
    </row>
    <row r="439" spans="1:21">
      <c r="A439" s="180">
        <v>44876</v>
      </c>
      <c r="B439" s="181">
        <v>913</v>
      </c>
      <c r="C439" s="330">
        <v>14</v>
      </c>
      <c r="S439" s="180">
        <v>44832</v>
      </c>
      <c r="T439">
        <v>677</v>
      </c>
      <c r="U439" s="316">
        <v>13.25</v>
      </c>
    </row>
    <row r="440" spans="1:21">
      <c r="A440" s="180">
        <v>44876</v>
      </c>
      <c r="B440" s="181">
        <v>914</v>
      </c>
      <c r="C440" s="330">
        <v>10.5</v>
      </c>
      <c r="S440" s="180">
        <v>44832</v>
      </c>
      <c r="T440">
        <v>678</v>
      </c>
      <c r="U440" s="316">
        <v>11.5</v>
      </c>
    </row>
    <row r="441" spans="1:21">
      <c r="A441" s="180">
        <v>44876</v>
      </c>
      <c r="B441" s="181">
        <v>915</v>
      </c>
      <c r="C441" s="330">
        <v>10</v>
      </c>
      <c r="S441" s="180">
        <v>44832</v>
      </c>
      <c r="T441">
        <v>679</v>
      </c>
      <c r="U441" s="316">
        <v>12.5</v>
      </c>
    </row>
    <row r="442" spans="1:21">
      <c r="A442" s="180">
        <v>44876</v>
      </c>
      <c r="B442" s="181">
        <v>916</v>
      </c>
      <c r="C442" s="330">
        <v>10</v>
      </c>
      <c r="S442" s="180">
        <v>44832</v>
      </c>
      <c r="T442">
        <v>680</v>
      </c>
      <c r="U442" s="316">
        <v>11.75</v>
      </c>
    </row>
    <row r="443" spans="1:21">
      <c r="A443" s="180">
        <v>44876</v>
      </c>
      <c r="B443" s="181">
        <v>917</v>
      </c>
      <c r="C443" s="330">
        <v>13.5</v>
      </c>
      <c r="S443" s="180">
        <v>44832</v>
      </c>
      <c r="T443">
        <v>681</v>
      </c>
      <c r="U443" s="316">
        <v>10</v>
      </c>
    </row>
    <row r="444" spans="1:21">
      <c r="A444" s="180">
        <v>44876</v>
      </c>
      <c r="B444" s="181">
        <v>918</v>
      </c>
      <c r="C444" s="330">
        <v>10</v>
      </c>
      <c r="D444" s="28">
        <f>SUM(C427:C444)</f>
        <v>198.5</v>
      </c>
      <c r="S444" s="180">
        <v>44832</v>
      </c>
      <c r="T444">
        <v>682</v>
      </c>
      <c r="U444" s="316">
        <v>12</v>
      </c>
    </row>
    <row r="445" spans="1:21">
      <c r="A445" s="360">
        <v>44881</v>
      </c>
      <c r="B445" s="361">
        <v>919</v>
      </c>
      <c r="C445" s="362">
        <v>12</v>
      </c>
      <c r="S445" s="180">
        <v>44832</v>
      </c>
      <c r="T445">
        <v>683</v>
      </c>
      <c r="U445" s="316">
        <v>12</v>
      </c>
    </row>
    <row r="446" spans="1:21">
      <c r="A446" s="360">
        <v>44881</v>
      </c>
      <c r="B446" s="361">
        <v>920</v>
      </c>
      <c r="C446" s="362">
        <v>13</v>
      </c>
      <c r="S446" s="180">
        <v>44832</v>
      </c>
      <c r="T446">
        <v>684</v>
      </c>
      <c r="U446" s="316">
        <v>10.25</v>
      </c>
    </row>
    <row r="447" spans="1:21">
      <c r="A447" s="360">
        <v>44881</v>
      </c>
      <c r="B447" s="361">
        <v>921</v>
      </c>
      <c r="C447" s="362">
        <v>13</v>
      </c>
      <c r="S447" s="180">
        <v>44832</v>
      </c>
      <c r="T447">
        <v>685</v>
      </c>
      <c r="U447" s="316">
        <v>11</v>
      </c>
    </row>
    <row r="448" spans="1:21">
      <c r="A448" s="360">
        <v>44881</v>
      </c>
      <c r="B448" s="361">
        <v>922</v>
      </c>
      <c r="C448" s="362">
        <v>10</v>
      </c>
      <c r="S448" s="180">
        <v>44832</v>
      </c>
      <c r="T448">
        <v>686</v>
      </c>
      <c r="U448" s="316">
        <v>10.5</v>
      </c>
    </row>
    <row r="449" spans="1:22">
      <c r="A449" s="360">
        <v>44881</v>
      </c>
      <c r="B449" s="361">
        <v>923</v>
      </c>
      <c r="C449" s="362">
        <v>9</v>
      </c>
      <c r="S449" s="180">
        <v>44832</v>
      </c>
      <c r="T449">
        <v>687</v>
      </c>
      <c r="U449" s="316">
        <v>10</v>
      </c>
    </row>
    <row r="450" spans="1:22">
      <c r="A450" s="360">
        <v>44881</v>
      </c>
      <c r="B450" s="361">
        <v>924</v>
      </c>
      <c r="C450" s="362">
        <v>9</v>
      </c>
      <c r="S450" s="180">
        <v>44832</v>
      </c>
      <c r="T450">
        <v>688</v>
      </c>
      <c r="U450" s="316">
        <v>10</v>
      </c>
    </row>
    <row r="451" spans="1:22">
      <c r="A451" s="360">
        <v>44881</v>
      </c>
      <c r="B451" s="361">
        <v>925</v>
      </c>
      <c r="C451" s="362">
        <v>10</v>
      </c>
      <c r="S451" s="180">
        <v>44832</v>
      </c>
      <c r="T451">
        <v>689</v>
      </c>
      <c r="U451" s="316">
        <v>9</v>
      </c>
    </row>
    <row r="452" spans="1:22">
      <c r="A452" s="360">
        <v>44881</v>
      </c>
      <c r="B452" s="361">
        <v>926</v>
      </c>
      <c r="C452" s="362">
        <v>10</v>
      </c>
      <c r="S452" s="180">
        <v>44832</v>
      </c>
      <c r="T452">
        <v>690</v>
      </c>
      <c r="U452" s="316">
        <v>12</v>
      </c>
    </row>
    <row r="453" spans="1:22">
      <c r="A453" s="360">
        <v>44881</v>
      </c>
      <c r="B453" s="361">
        <v>927</v>
      </c>
      <c r="C453" s="362">
        <v>10</v>
      </c>
      <c r="S453" s="180">
        <v>44832</v>
      </c>
      <c r="T453">
        <v>691</v>
      </c>
      <c r="U453" s="316">
        <v>12</v>
      </c>
      <c r="V453" s="28">
        <f>SUM(U408:U453)</f>
        <v>516</v>
      </c>
    </row>
    <row r="454" spans="1:22">
      <c r="A454" s="360">
        <v>44881</v>
      </c>
      <c r="B454" s="361">
        <v>928</v>
      </c>
      <c r="C454" s="362">
        <v>10.5</v>
      </c>
      <c r="S454" s="180"/>
      <c r="U454" s="340">
        <f>SUM(U245:U453)</f>
        <v>2313.25</v>
      </c>
      <c r="V454" s="340">
        <f>SUM(V245:V453)</f>
        <v>2313.25</v>
      </c>
    </row>
    <row r="455" spans="1:22">
      <c r="A455" s="360">
        <v>44881</v>
      </c>
      <c r="B455" s="361">
        <v>929</v>
      </c>
      <c r="C455" s="362">
        <v>13</v>
      </c>
      <c r="S455" s="180"/>
      <c r="U455" s="316"/>
    </row>
    <row r="456" spans="1:22">
      <c r="A456" s="360">
        <v>44881</v>
      </c>
      <c r="B456" s="361">
        <v>930</v>
      </c>
      <c r="C456" s="362">
        <v>13.75</v>
      </c>
      <c r="S456" s="180"/>
      <c r="U456" s="316"/>
    </row>
    <row r="457" spans="1:22">
      <c r="A457" s="360">
        <v>44881</v>
      </c>
      <c r="B457" s="361">
        <v>931</v>
      </c>
      <c r="C457" s="362">
        <v>10</v>
      </c>
      <c r="S457" s="180"/>
      <c r="U457" s="316"/>
    </row>
    <row r="458" spans="1:22">
      <c r="A458" s="360">
        <v>44881</v>
      </c>
      <c r="B458" s="361">
        <v>932</v>
      </c>
      <c r="C458" s="362">
        <v>10</v>
      </c>
      <c r="S458" s="180"/>
      <c r="U458" s="316"/>
    </row>
    <row r="459" spans="1:22">
      <c r="A459" s="360">
        <v>44881</v>
      </c>
      <c r="B459" s="361">
        <v>933</v>
      </c>
      <c r="C459" s="362">
        <v>13.5</v>
      </c>
      <c r="S459" s="180"/>
      <c r="U459" s="316"/>
    </row>
    <row r="460" spans="1:22">
      <c r="A460" s="360">
        <v>44881</v>
      </c>
      <c r="B460" s="361">
        <v>934</v>
      </c>
      <c r="C460" s="362">
        <v>10.5</v>
      </c>
      <c r="S460" s="180"/>
      <c r="U460" s="316"/>
    </row>
    <row r="461" spans="1:22">
      <c r="A461" s="360">
        <v>44881</v>
      </c>
      <c r="B461" s="361">
        <v>935</v>
      </c>
      <c r="C461" s="362">
        <v>10.25</v>
      </c>
      <c r="S461" s="180"/>
      <c r="U461" s="316"/>
    </row>
    <row r="462" spans="1:22">
      <c r="A462" s="360">
        <v>44881</v>
      </c>
      <c r="B462" s="361">
        <v>936</v>
      </c>
      <c r="C462" s="362">
        <v>11</v>
      </c>
      <c r="S462" s="180"/>
      <c r="U462" s="316"/>
    </row>
    <row r="463" spans="1:22">
      <c r="A463" s="360">
        <v>44881</v>
      </c>
      <c r="B463" s="361">
        <v>937</v>
      </c>
      <c r="C463" s="362">
        <v>10.5</v>
      </c>
      <c r="D463" s="28">
        <f>SUM(C445:C463)</f>
        <v>209</v>
      </c>
      <c r="S463" s="180"/>
      <c r="U463" s="316"/>
    </row>
    <row r="464" spans="1:22">
      <c r="A464" s="179">
        <v>44883</v>
      </c>
      <c r="B464">
        <v>938</v>
      </c>
      <c r="C464" s="316">
        <v>11.75</v>
      </c>
    </row>
    <row r="465" spans="1:4">
      <c r="A465" s="179">
        <v>44883</v>
      </c>
      <c r="B465">
        <v>939</v>
      </c>
      <c r="C465" s="316">
        <v>10.5</v>
      </c>
    </row>
    <row r="466" spans="1:4">
      <c r="A466" s="179">
        <v>44883</v>
      </c>
      <c r="B466">
        <v>940</v>
      </c>
      <c r="C466" s="316">
        <v>10.5</v>
      </c>
    </row>
    <row r="467" spans="1:4">
      <c r="A467" s="179">
        <v>44883</v>
      </c>
      <c r="B467">
        <v>941</v>
      </c>
      <c r="C467" s="316">
        <v>14.75</v>
      </c>
    </row>
    <row r="468" spans="1:4">
      <c r="A468" s="179">
        <v>44883</v>
      </c>
      <c r="B468">
        <v>942</v>
      </c>
      <c r="C468" s="316">
        <v>10</v>
      </c>
    </row>
    <row r="469" spans="1:4">
      <c r="A469" s="179">
        <v>44883</v>
      </c>
      <c r="B469">
        <v>943</v>
      </c>
      <c r="C469" s="316">
        <v>10.25</v>
      </c>
    </row>
    <row r="470" spans="1:4">
      <c r="A470" s="179">
        <v>44883</v>
      </c>
      <c r="B470">
        <v>944</v>
      </c>
      <c r="C470" s="316">
        <v>12.5</v>
      </c>
    </row>
    <row r="471" spans="1:4">
      <c r="A471" s="179">
        <v>44883</v>
      </c>
      <c r="B471">
        <v>945</v>
      </c>
      <c r="C471" s="316">
        <v>10.5</v>
      </c>
    </row>
    <row r="472" spans="1:4">
      <c r="A472" s="179">
        <v>44883</v>
      </c>
      <c r="B472">
        <v>946</v>
      </c>
      <c r="C472" s="316">
        <v>10.5</v>
      </c>
    </row>
    <row r="473" spans="1:4">
      <c r="A473" s="179">
        <v>44883</v>
      </c>
      <c r="B473">
        <v>947</v>
      </c>
      <c r="C473" s="316">
        <v>10</v>
      </c>
    </row>
    <row r="474" spans="1:4">
      <c r="A474" s="179">
        <v>44883</v>
      </c>
      <c r="B474">
        <v>948</v>
      </c>
      <c r="C474" s="316">
        <v>12</v>
      </c>
    </row>
    <row r="475" spans="1:4">
      <c r="A475" s="179">
        <v>44883</v>
      </c>
      <c r="B475">
        <v>949</v>
      </c>
      <c r="C475" s="316">
        <v>10.5</v>
      </c>
    </row>
    <row r="476" spans="1:4">
      <c r="A476" s="179">
        <v>44883</v>
      </c>
      <c r="B476">
        <v>950</v>
      </c>
      <c r="C476" s="316">
        <v>10.5</v>
      </c>
    </row>
    <row r="477" spans="1:4">
      <c r="A477" s="179">
        <v>44883</v>
      </c>
      <c r="B477">
        <v>951</v>
      </c>
      <c r="C477" s="316">
        <v>12</v>
      </c>
    </row>
    <row r="478" spans="1:4">
      <c r="A478" s="179">
        <v>44883</v>
      </c>
      <c r="B478">
        <v>952</v>
      </c>
      <c r="C478" s="316">
        <v>10</v>
      </c>
    </row>
    <row r="479" spans="1:4">
      <c r="A479" s="179">
        <v>44883</v>
      </c>
      <c r="B479">
        <v>953</v>
      </c>
      <c r="C479" s="316">
        <v>10.5</v>
      </c>
      <c r="D479" s="28">
        <f>SUM(C464:C479)</f>
        <v>176.75</v>
      </c>
    </row>
    <row r="480" spans="1:4">
      <c r="A480" s="360">
        <v>44888</v>
      </c>
      <c r="B480" s="361">
        <v>954</v>
      </c>
      <c r="C480" s="362">
        <v>10</v>
      </c>
    </row>
    <row r="481" spans="1:4">
      <c r="A481" s="360">
        <v>44888</v>
      </c>
      <c r="B481" s="361">
        <v>955</v>
      </c>
      <c r="C481" s="362">
        <v>10.5</v>
      </c>
    </row>
    <row r="482" spans="1:4">
      <c r="A482" s="360">
        <v>44888</v>
      </c>
      <c r="B482" s="361">
        <v>956</v>
      </c>
      <c r="C482" s="362">
        <v>12</v>
      </c>
    </row>
    <row r="483" spans="1:4">
      <c r="A483" s="360">
        <v>44888</v>
      </c>
      <c r="B483" s="361">
        <v>957</v>
      </c>
      <c r="C483" s="362">
        <v>10</v>
      </c>
    </row>
    <row r="484" spans="1:4">
      <c r="A484" s="360">
        <v>44888</v>
      </c>
      <c r="B484" s="361">
        <v>958</v>
      </c>
      <c r="C484" s="362">
        <v>10.75</v>
      </c>
    </row>
    <row r="485" spans="1:4">
      <c r="A485" s="360">
        <v>44888</v>
      </c>
      <c r="B485" s="361">
        <v>959</v>
      </c>
      <c r="C485" s="362">
        <v>11</v>
      </c>
    </row>
    <row r="486" spans="1:4">
      <c r="A486" s="360">
        <v>44888</v>
      </c>
      <c r="B486" s="361">
        <v>960</v>
      </c>
      <c r="C486" s="362">
        <v>11</v>
      </c>
    </row>
    <row r="487" spans="1:4">
      <c r="A487" s="360">
        <v>44888</v>
      </c>
      <c r="B487" s="361">
        <v>961</v>
      </c>
      <c r="C487" s="362">
        <v>11.75</v>
      </c>
    </row>
    <row r="488" spans="1:4">
      <c r="A488" s="360">
        <v>44888</v>
      </c>
      <c r="B488" s="361">
        <v>962</v>
      </c>
      <c r="C488" s="362">
        <v>10.5</v>
      </c>
    </row>
    <row r="489" spans="1:4">
      <c r="A489" s="360">
        <v>44888</v>
      </c>
      <c r="B489" s="361">
        <v>963</v>
      </c>
      <c r="C489" s="362">
        <v>12.5</v>
      </c>
    </row>
    <row r="490" spans="1:4">
      <c r="A490" s="360">
        <v>44888</v>
      </c>
      <c r="B490" s="361">
        <v>964</v>
      </c>
      <c r="C490" s="362">
        <v>12</v>
      </c>
    </row>
    <row r="491" spans="1:4">
      <c r="A491" s="360">
        <v>44888</v>
      </c>
      <c r="B491" s="361">
        <v>965</v>
      </c>
      <c r="C491" s="362">
        <v>9</v>
      </c>
      <c r="D491" s="28">
        <f>SUM(C480:C491)</f>
        <v>131</v>
      </c>
    </row>
    <row r="492" spans="1:4">
      <c r="A492" s="180">
        <v>44890</v>
      </c>
      <c r="B492" s="181">
        <v>966</v>
      </c>
      <c r="C492" s="330">
        <v>13.25</v>
      </c>
    </row>
    <row r="493" spans="1:4">
      <c r="A493" s="180">
        <v>44890</v>
      </c>
      <c r="B493" s="181">
        <v>967</v>
      </c>
      <c r="C493" s="330">
        <v>10.5</v>
      </c>
    </row>
    <row r="494" spans="1:4">
      <c r="A494" s="180">
        <v>44890</v>
      </c>
      <c r="B494" s="181">
        <v>968</v>
      </c>
      <c r="C494" s="330">
        <v>12.25</v>
      </c>
    </row>
    <row r="495" spans="1:4">
      <c r="A495" s="180">
        <v>44890</v>
      </c>
      <c r="B495" s="181">
        <v>969</v>
      </c>
      <c r="C495" s="330">
        <v>12.25</v>
      </c>
    </row>
    <row r="496" spans="1:4">
      <c r="A496" s="180">
        <v>44890</v>
      </c>
      <c r="B496" s="181">
        <v>970</v>
      </c>
      <c r="C496" s="330">
        <v>5</v>
      </c>
    </row>
    <row r="497" spans="1:4">
      <c r="A497" s="180">
        <v>44890</v>
      </c>
      <c r="B497" s="181">
        <v>971</v>
      </c>
      <c r="C497" s="330">
        <v>8.5</v>
      </c>
    </row>
    <row r="498" spans="1:4">
      <c r="A498" s="180">
        <v>44890</v>
      </c>
      <c r="B498" s="181">
        <v>972</v>
      </c>
      <c r="C498" s="330">
        <v>10.25</v>
      </c>
    </row>
    <row r="499" spans="1:4">
      <c r="A499" s="180">
        <v>44890</v>
      </c>
      <c r="B499" s="181">
        <v>973</v>
      </c>
      <c r="C499" s="330">
        <v>13</v>
      </c>
    </row>
    <row r="500" spans="1:4">
      <c r="A500" s="180">
        <v>44890</v>
      </c>
      <c r="B500" s="181">
        <v>974</v>
      </c>
      <c r="C500" s="330">
        <v>11</v>
      </c>
    </row>
    <row r="501" spans="1:4">
      <c r="A501" s="180">
        <v>44890</v>
      </c>
      <c r="B501" s="181">
        <v>975</v>
      </c>
      <c r="C501" s="330">
        <v>12</v>
      </c>
    </row>
    <row r="502" spans="1:4">
      <c r="A502" s="180">
        <v>44890</v>
      </c>
      <c r="B502" s="181">
        <v>976</v>
      </c>
      <c r="C502" s="330">
        <v>12</v>
      </c>
    </row>
    <row r="503" spans="1:4">
      <c r="A503" s="180">
        <v>44890</v>
      </c>
      <c r="B503" s="181">
        <v>977</v>
      </c>
      <c r="C503" s="330">
        <v>12</v>
      </c>
    </row>
    <row r="504" spans="1:4">
      <c r="A504" s="180">
        <v>44890</v>
      </c>
      <c r="B504" s="181">
        <v>978</v>
      </c>
      <c r="C504" s="330">
        <v>12</v>
      </c>
    </row>
    <row r="505" spans="1:4">
      <c r="A505" s="180">
        <v>44890</v>
      </c>
      <c r="B505" s="181">
        <v>979</v>
      </c>
      <c r="C505" s="330">
        <v>12.5</v>
      </c>
    </row>
    <row r="506" spans="1:4">
      <c r="A506" s="180">
        <v>44890</v>
      </c>
      <c r="B506" s="181">
        <v>980</v>
      </c>
      <c r="C506" s="330">
        <v>12</v>
      </c>
    </row>
    <row r="507" spans="1:4">
      <c r="A507" s="180">
        <v>44890</v>
      </c>
      <c r="B507" s="181">
        <v>981</v>
      </c>
      <c r="C507" s="330">
        <v>11.25</v>
      </c>
    </row>
    <row r="508" spans="1:4">
      <c r="A508" s="180">
        <v>44890</v>
      </c>
      <c r="B508" s="181">
        <v>982</v>
      </c>
      <c r="C508" s="330">
        <v>11.75</v>
      </c>
    </row>
    <row r="509" spans="1:4">
      <c r="A509" s="180">
        <v>44890</v>
      </c>
      <c r="B509" s="181">
        <v>983</v>
      </c>
      <c r="C509" s="330">
        <v>10</v>
      </c>
    </row>
    <row r="510" spans="1:4">
      <c r="A510" s="180">
        <v>44890</v>
      </c>
      <c r="B510" s="181">
        <v>984</v>
      </c>
      <c r="C510" s="330">
        <v>9.75</v>
      </c>
    </row>
    <row r="511" spans="1:4">
      <c r="A511" s="180">
        <v>44890</v>
      </c>
      <c r="B511" s="181">
        <v>985</v>
      </c>
      <c r="C511" s="330">
        <v>10</v>
      </c>
    </row>
    <row r="512" spans="1:4">
      <c r="A512" s="180">
        <v>44890</v>
      </c>
      <c r="B512" s="181">
        <v>986</v>
      </c>
      <c r="C512" s="330">
        <v>10.25</v>
      </c>
      <c r="D512" s="28">
        <f>SUM(C492:C512)</f>
        <v>231.5</v>
      </c>
    </row>
    <row r="513" spans="1:21">
      <c r="A513" s="179">
        <v>44892</v>
      </c>
      <c r="B513">
        <v>987</v>
      </c>
      <c r="C513" s="316">
        <v>10</v>
      </c>
    </row>
    <row r="514" spans="1:21">
      <c r="A514" s="179">
        <v>44892</v>
      </c>
      <c r="B514">
        <v>988</v>
      </c>
      <c r="C514" s="316">
        <v>10</v>
      </c>
    </row>
    <row r="515" spans="1:21">
      <c r="A515" s="179">
        <v>44892</v>
      </c>
      <c r="B515">
        <v>989</v>
      </c>
      <c r="C515" s="316">
        <v>10.75</v>
      </c>
    </row>
    <row r="516" spans="1:21">
      <c r="A516" s="179">
        <v>44892</v>
      </c>
      <c r="B516">
        <v>990</v>
      </c>
      <c r="C516" s="316">
        <v>11.75</v>
      </c>
    </row>
    <row r="517" spans="1:21">
      <c r="A517" s="179">
        <v>44892</v>
      </c>
      <c r="B517">
        <v>991</v>
      </c>
      <c r="C517" s="316">
        <v>10.75</v>
      </c>
    </row>
    <row r="518" spans="1:21">
      <c r="A518" s="179">
        <v>44892</v>
      </c>
      <c r="B518">
        <v>992</v>
      </c>
      <c r="C518" s="316">
        <v>10</v>
      </c>
    </row>
    <row r="519" spans="1:21">
      <c r="A519" s="179">
        <v>44892</v>
      </c>
      <c r="B519">
        <v>993</v>
      </c>
      <c r="C519" s="316">
        <v>8.5</v>
      </c>
    </row>
    <row r="520" spans="1:21">
      <c r="A520" s="179">
        <v>44892</v>
      </c>
      <c r="B520">
        <v>994</v>
      </c>
      <c r="C520" s="316">
        <v>13.75</v>
      </c>
    </row>
    <row r="521" spans="1:21">
      <c r="A521" s="179">
        <v>44892</v>
      </c>
      <c r="B521">
        <v>995</v>
      </c>
      <c r="C521" s="316">
        <v>10.5</v>
      </c>
    </row>
    <row r="522" spans="1:21">
      <c r="A522" s="179">
        <v>44892</v>
      </c>
      <c r="B522">
        <v>996</v>
      </c>
      <c r="C522" s="316">
        <v>12.75</v>
      </c>
    </row>
    <row r="523" spans="1:21">
      <c r="A523" s="179">
        <v>44892</v>
      </c>
      <c r="B523">
        <v>997</v>
      </c>
      <c r="C523" s="316">
        <v>10</v>
      </c>
      <c r="U523" s="316"/>
    </row>
    <row r="524" spans="1:21">
      <c r="A524" s="179">
        <v>44892</v>
      </c>
      <c r="B524">
        <v>998</v>
      </c>
      <c r="C524" s="316">
        <v>11</v>
      </c>
      <c r="U524" s="316"/>
    </row>
    <row r="525" spans="1:21">
      <c r="A525" s="179">
        <v>44892</v>
      </c>
      <c r="B525">
        <v>999</v>
      </c>
      <c r="C525" s="316">
        <v>10</v>
      </c>
      <c r="U525" s="316"/>
    </row>
    <row r="526" spans="1:21">
      <c r="A526" s="179">
        <v>44892</v>
      </c>
      <c r="B526">
        <v>1000</v>
      </c>
      <c r="C526" s="316">
        <v>10</v>
      </c>
      <c r="U526" s="316"/>
    </row>
    <row r="527" spans="1:21">
      <c r="A527" s="179">
        <v>44892</v>
      </c>
      <c r="B527">
        <v>1001</v>
      </c>
      <c r="C527" s="316">
        <v>12</v>
      </c>
      <c r="U527" s="316"/>
    </row>
    <row r="528" spans="1:21">
      <c r="A528" s="179">
        <v>44892</v>
      </c>
      <c r="B528">
        <v>1002</v>
      </c>
      <c r="C528" s="316">
        <v>10</v>
      </c>
      <c r="U528" s="316"/>
    </row>
    <row r="529" spans="1:21">
      <c r="A529" s="179">
        <v>44892</v>
      </c>
      <c r="B529">
        <v>1003</v>
      </c>
      <c r="C529" s="316">
        <v>12</v>
      </c>
      <c r="U529" s="316"/>
    </row>
    <row r="530" spans="1:21">
      <c r="A530" s="179">
        <v>44892</v>
      </c>
      <c r="B530">
        <v>1004</v>
      </c>
      <c r="C530" s="316">
        <v>10.5</v>
      </c>
      <c r="U530" s="316"/>
    </row>
    <row r="531" spans="1:21">
      <c r="A531" s="179">
        <v>44892</v>
      </c>
      <c r="B531">
        <v>1005</v>
      </c>
      <c r="C531" s="316">
        <v>12</v>
      </c>
      <c r="U531" s="316"/>
    </row>
    <row r="532" spans="1:21">
      <c r="A532" s="179">
        <v>44892</v>
      </c>
      <c r="B532">
        <v>1006</v>
      </c>
      <c r="C532" s="316">
        <v>11</v>
      </c>
      <c r="D532" s="28">
        <f>SUM(C513:C532)</f>
        <v>217.25</v>
      </c>
      <c r="U532" s="316"/>
    </row>
    <row r="533" spans="1:21">
      <c r="C533" s="189">
        <f>SUM(C389:C532)</f>
        <v>1608.25</v>
      </c>
      <c r="U533" s="316"/>
    </row>
    <row r="534" spans="1:21">
      <c r="U534" s="316"/>
    </row>
    <row r="535" spans="1:21">
      <c r="U535" s="316"/>
    </row>
    <row r="536" spans="1:21">
      <c r="U536" s="316"/>
    </row>
    <row r="537" spans="1:21">
      <c r="A537" s="179">
        <v>44866</v>
      </c>
      <c r="B537">
        <v>490</v>
      </c>
      <c r="C537" s="316">
        <v>13.5</v>
      </c>
      <c r="U537" s="316"/>
    </row>
    <row r="538" spans="1:21">
      <c r="A538" s="179">
        <v>44866</v>
      </c>
      <c r="B538">
        <v>491</v>
      </c>
      <c r="C538" s="316">
        <v>2.4</v>
      </c>
      <c r="U538" s="316"/>
    </row>
    <row r="539" spans="1:21">
      <c r="A539" s="179">
        <v>44868</v>
      </c>
      <c r="B539">
        <v>492</v>
      </c>
      <c r="C539" s="316">
        <v>14.75</v>
      </c>
      <c r="U539" s="316"/>
    </row>
    <row r="540" spans="1:21">
      <c r="A540" s="179">
        <v>44868</v>
      </c>
      <c r="B540">
        <v>493</v>
      </c>
      <c r="C540" s="316">
        <v>3.1</v>
      </c>
      <c r="U540" s="316"/>
    </row>
    <row r="541" spans="1:21">
      <c r="A541" s="179">
        <v>44869</v>
      </c>
      <c r="B541">
        <v>494</v>
      </c>
      <c r="C541" s="316">
        <v>18.5</v>
      </c>
      <c r="U541" s="316"/>
    </row>
    <row r="542" spans="1:21">
      <c r="A542" s="179">
        <v>44869</v>
      </c>
      <c r="B542">
        <v>495</v>
      </c>
      <c r="C542" s="316">
        <v>6.2</v>
      </c>
      <c r="U542" s="316"/>
    </row>
    <row r="543" spans="1:21">
      <c r="A543" s="179">
        <v>44870</v>
      </c>
      <c r="B543">
        <v>496</v>
      </c>
      <c r="C543" s="316">
        <v>38</v>
      </c>
      <c r="U543" s="316"/>
    </row>
    <row r="544" spans="1:21">
      <c r="A544" s="179">
        <v>44870</v>
      </c>
      <c r="B544">
        <v>497</v>
      </c>
      <c r="C544" s="316">
        <v>9.5500000000000007</v>
      </c>
      <c r="U544" s="316"/>
    </row>
    <row r="545" spans="1:21">
      <c r="A545" s="179">
        <v>44871</v>
      </c>
      <c r="B545">
        <v>498</v>
      </c>
      <c r="C545" s="316">
        <v>12.25</v>
      </c>
      <c r="U545" s="316"/>
    </row>
    <row r="546" spans="1:21">
      <c r="A546" s="179">
        <v>44871</v>
      </c>
      <c r="B546">
        <v>499</v>
      </c>
      <c r="C546" s="316">
        <v>5.65</v>
      </c>
      <c r="U546" s="316"/>
    </row>
    <row r="547" spans="1:21">
      <c r="A547" s="179">
        <v>44871</v>
      </c>
      <c r="B547">
        <v>500</v>
      </c>
      <c r="C547" s="316">
        <v>5.5</v>
      </c>
      <c r="U547" s="316"/>
    </row>
    <row r="548" spans="1:21">
      <c r="A548" s="179">
        <v>44873</v>
      </c>
      <c r="B548">
        <v>501</v>
      </c>
      <c r="C548" s="316">
        <v>3.8</v>
      </c>
      <c r="U548" s="316"/>
    </row>
    <row r="549" spans="1:21">
      <c r="A549" s="179">
        <v>44873</v>
      </c>
      <c r="B549">
        <v>502</v>
      </c>
      <c r="C549" s="316">
        <v>21.25</v>
      </c>
      <c r="U549" s="316"/>
    </row>
    <row r="550" spans="1:21">
      <c r="A550" s="179">
        <v>44873</v>
      </c>
      <c r="B550">
        <v>503</v>
      </c>
      <c r="C550" s="316">
        <v>3.6</v>
      </c>
      <c r="U550" s="316"/>
    </row>
    <row r="551" spans="1:21">
      <c r="A551" s="179">
        <v>44873</v>
      </c>
      <c r="B551">
        <v>504</v>
      </c>
      <c r="C551" s="316">
        <v>3.5</v>
      </c>
      <c r="U551" s="316"/>
    </row>
    <row r="552" spans="1:21">
      <c r="A552" s="179">
        <v>44874</v>
      </c>
      <c r="B552">
        <v>505</v>
      </c>
      <c r="C552" s="316">
        <v>16.5</v>
      </c>
      <c r="U552" s="316"/>
    </row>
    <row r="553" spans="1:21">
      <c r="A553" s="179">
        <v>44874</v>
      </c>
      <c r="B553">
        <v>506</v>
      </c>
      <c r="C553" s="316">
        <v>3.9</v>
      </c>
      <c r="U553" s="316"/>
    </row>
    <row r="554" spans="1:21">
      <c r="A554" s="179">
        <v>44874</v>
      </c>
      <c r="B554">
        <v>507</v>
      </c>
      <c r="C554" s="316">
        <v>13.35</v>
      </c>
      <c r="U554" s="316"/>
    </row>
    <row r="555" spans="1:21">
      <c r="A555" s="179">
        <v>44874</v>
      </c>
      <c r="B555">
        <v>508</v>
      </c>
      <c r="C555" s="316">
        <v>1.5</v>
      </c>
      <c r="U555" s="316"/>
    </row>
    <row r="556" spans="1:21">
      <c r="A556" s="179">
        <v>44876</v>
      </c>
      <c r="B556">
        <v>509</v>
      </c>
      <c r="C556" s="316">
        <v>14.75</v>
      </c>
      <c r="U556" s="316"/>
    </row>
    <row r="557" spans="1:21">
      <c r="A557" s="179">
        <v>44876</v>
      </c>
      <c r="B557">
        <v>510</v>
      </c>
      <c r="C557" s="316">
        <v>3.5</v>
      </c>
      <c r="U557" s="316"/>
    </row>
    <row r="558" spans="1:21">
      <c r="A558" s="179">
        <v>44876</v>
      </c>
      <c r="B558">
        <v>511</v>
      </c>
      <c r="C558" s="316">
        <v>18</v>
      </c>
      <c r="U558" s="316"/>
    </row>
    <row r="559" spans="1:21">
      <c r="A559" s="179">
        <v>44876</v>
      </c>
      <c r="B559">
        <v>512</v>
      </c>
      <c r="C559" s="316">
        <v>5.95</v>
      </c>
      <c r="U559" s="316"/>
    </row>
    <row r="560" spans="1:21">
      <c r="A560" s="179">
        <v>44880</v>
      </c>
      <c r="B560">
        <v>513</v>
      </c>
      <c r="C560" s="316">
        <v>19.5</v>
      </c>
      <c r="U560" s="316"/>
    </row>
    <row r="561" spans="1:21">
      <c r="A561" s="179">
        <v>44880</v>
      </c>
      <c r="B561">
        <v>514</v>
      </c>
      <c r="C561" s="316">
        <v>13.5</v>
      </c>
      <c r="U561" s="316"/>
    </row>
    <row r="562" spans="1:21">
      <c r="A562" s="179">
        <v>44880</v>
      </c>
      <c r="B562">
        <v>515</v>
      </c>
      <c r="C562" s="316">
        <v>16</v>
      </c>
      <c r="U562" s="316"/>
    </row>
    <row r="563" spans="1:21">
      <c r="A563" s="179">
        <v>44880</v>
      </c>
      <c r="B563">
        <v>516</v>
      </c>
      <c r="C563" s="316">
        <v>5.35</v>
      </c>
      <c r="U563" s="316"/>
    </row>
    <row r="564" spans="1:21">
      <c r="A564" s="179">
        <v>44880</v>
      </c>
      <c r="B564">
        <v>517</v>
      </c>
      <c r="C564" s="316">
        <v>5</v>
      </c>
      <c r="U564" s="316"/>
    </row>
    <row r="565" spans="1:21">
      <c r="A565" s="179">
        <v>44880</v>
      </c>
      <c r="B565">
        <v>518</v>
      </c>
      <c r="C565" s="316">
        <v>4.5</v>
      </c>
      <c r="U565" s="316"/>
    </row>
    <row r="566" spans="1:21">
      <c r="A566" s="179">
        <v>44880</v>
      </c>
      <c r="B566">
        <v>519</v>
      </c>
      <c r="C566" s="316">
        <v>45.25</v>
      </c>
      <c r="U566" s="316"/>
    </row>
    <row r="567" spans="1:21">
      <c r="A567" s="179">
        <v>44883</v>
      </c>
      <c r="B567">
        <v>520</v>
      </c>
      <c r="C567" s="316">
        <v>3.6</v>
      </c>
      <c r="U567" s="316"/>
    </row>
    <row r="568" spans="1:21">
      <c r="A568" s="179">
        <v>44883</v>
      </c>
      <c r="B568">
        <v>521</v>
      </c>
      <c r="C568" s="316">
        <v>17.5</v>
      </c>
      <c r="U568" s="316"/>
    </row>
    <row r="569" spans="1:21">
      <c r="A569" s="179">
        <v>44883</v>
      </c>
      <c r="B569">
        <v>522</v>
      </c>
      <c r="C569" s="316">
        <v>6.4</v>
      </c>
      <c r="U569" s="316"/>
    </row>
    <row r="570" spans="1:21">
      <c r="A570" s="179">
        <v>44883</v>
      </c>
      <c r="B570">
        <v>523</v>
      </c>
      <c r="C570" s="316">
        <v>6.3</v>
      </c>
      <c r="U570" s="316"/>
    </row>
    <row r="571" spans="1:21">
      <c r="A571" s="179">
        <v>44883</v>
      </c>
      <c r="B571">
        <v>524</v>
      </c>
      <c r="C571" s="316">
        <v>4.5</v>
      </c>
      <c r="U571" s="316"/>
    </row>
    <row r="572" spans="1:21">
      <c r="A572" s="179">
        <v>44885</v>
      </c>
      <c r="B572">
        <v>525</v>
      </c>
      <c r="C572" s="316">
        <v>27.25</v>
      </c>
      <c r="U572" s="316"/>
    </row>
    <row r="573" spans="1:21">
      <c r="A573" s="179">
        <v>44885</v>
      </c>
      <c r="B573">
        <v>526</v>
      </c>
      <c r="C573" s="316">
        <v>18.8</v>
      </c>
      <c r="U573" s="316"/>
    </row>
    <row r="574" spans="1:21">
      <c r="A574" s="179">
        <v>44885</v>
      </c>
      <c r="B574">
        <v>527</v>
      </c>
      <c r="C574" s="316">
        <v>2</v>
      </c>
      <c r="U574" s="316"/>
    </row>
    <row r="575" spans="1:21">
      <c r="A575" s="179">
        <v>44885</v>
      </c>
      <c r="B575">
        <v>528</v>
      </c>
      <c r="C575" s="316">
        <v>33.75</v>
      </c>
      <c r="U575" s="316"/>
    </row>
    <row r="576" spans="1:21">
      <c r="A576" s="179">
        <v>44885</v>
      </c>
      <c r="B576">
        <v>529</v>
      </c>
      <c r="C576" s="316">
        <v>9.8000000000000007</v>
      </c>
      <c r="U576" s="316"/>
    </row>
    <row r="577" spans="1:21">
      <c r="A577" s="179">
        <v>44885</v>
      </c>
      <c r="B577">
        <v>530</v>
      </c>
      <c r="C577" s="316">
        <v>3.6</v>
      </c>
      <c r="U577" s="316"/>
    </row>
    <row r="578" spans="1:21">
      <c r="A578" s="179">
        <v>44888</v>
      </c>
      <c r="B578">
        <v>531</v>
      </c>
      <c r="C578" s="316">
        <v>15</v>
      </c>
      <c r="U578" s="316"/>
    </row>
    <row r="579" spans="1:21">
      <c r="A579" s="179">
        <v>44888</v>
      </c>
      <c r="B579">
        <v>532</v>
      </c>
      <c r="C579" s="316">
        <v>7.6</v>
      </c>
      <c r="U579" s="316"/>
    </row>
    <row r="580" spans="1:21">
      <c r="A580" s="179">
        <v>44888</v>
      </c>
      <c r="B580">
        <v>533</v>
      </c>
      <c r="C580" s="316">
        <v>6.4</v>
      </c>
      <c r="U580" s="316"/>
    </row>
    <row r="581" spans="1:21">
      <c r="A581" s="179">
        <v>44888</v>
      </c>
      <c r="B581">
        <v>534</v>
      </c>
      <c r="C581" s="316">
        <v>8.5</v>
      </c>
      <c r="U581" s="316"/>
    </row>
    <row r="582" spans="1:21">
      <c r="A582" s="179">
        <v>44888</v>
      </c>
      <c r="B582">
        <v>535</v>
      </c>
      <c r="C582" s="316">
        <v>12.25</v>
      </c>
      <c r="U582" s="316"/>
    </row>
    <row r="583" spans="1:21">
      <c r="A583" s="179">
        <v>44890</v>
      </c>
      <c r="B583">
        <v>536</v>
      </c>
      <c r="C583" s="330">
        <v>11.35</v>
      </c>
      <c r="U583" s="316"/>
    </row>
    <row r="584" spans="1:21">
      <c r="A584" s="179">
        <v>44890</v>
      </c>
      <c r="B584">
        <v>537</v>
      </c>
      <c r="C584" s="330">
        <v>6.6</v>
      </c>
      <c r="U584" s="316"/>
    </row>
    <row r="585" spans="1:21">
      <c r="A585" s="179">
        <v>44890</v>
      </c>
      <c r="B585">
        <v>538</v>
      </c>
      <c r="C585" s="330">
        <v>21.5</v>
      </c>
      <c r="U585" s="316"/>
    </row>
    <row r="586" spans="1:21">
      <c r="A586" s="179">
        <v>44890</v>
      </c>
      <c r="B586">
        <v>539</v>
      </c>
      <c r="C586" s="330">
        <v>12.55</v>
      </c>
      <c r="U586" s="316"/>
    </row>
    <row r="587" spans="1:21">
      <c r="A587" s="179">
        <v>44890</v>
      </c>
      <c r="B587">
        <v>540</v>
      </c>
      <c r="C587" s="330">
        <v>10.25</v>
      </c>
      <c r="U587" s="316"/>
    </row>
    <row r="588" spans="1:21">
      <c r="A588" s="179">
        <v>44892</v>
      </c>
      <c r="B588">
        <v>541</v>
      </c>
      <c r="C588" s="197">
        <v>4.5999999999999996</v>
      </c>
      <c r="U588" s="316"/>
    </row>
    <row r="589" spans="1:21">
      <c r="A589" s="179">
        <v>44892</v>
      </c>
      <c r="B589">
        <v>542</v>
      </c>
      <c r="C589" s="197">
        <v>64.25</v>
      </c>
      <c r="U589" s="316"/>
    </row>
    <row r="590" spans="1:21">
      <c r="A590" s="179">
        <v>44892</v>
      </c>
      <c r="B590">
        <v>543</v>
      </c>
      <c r="C590" s="197">
        <v>13</v>
      </c>
      <c r="U590" s="316"/>
    </row>
    <row r="591" spans="1:21">
      <c r="A591" s="179">
        <v>44893</v>
      </c>
      <c r="B591">
        <v>544</v>
      </c>
      <c r="C591" s="316">
        <v>12.5</v>
      </c>
      <c r="U591" s="316"/>
    </row>
    <row r="592" spans="1:21">
      <c r="A592" s="179">
        <v>44893</v>
      </c>
      <c r="B592">
        <v>545</v>
      </c>
      <c r="C592" s="316">
        <v>11.1</v>
      </c>
      <c r="U592" s="316"/>
    </row>
    <row r="593" spans="1:21">
      <c r="A593" s="179">
        <v>44895</v>
      </c>
      <c r="B593">
        <v>546</v>
      </c>
      <c r="C593" s="316">
        <v>12.25</v>
      </c>
      <c r="U593" s="316"/>
    </row>
    <row r="594" spans="1:21">
      <c r="A594" s="179">
        <v>44895</v>
      </c>
      <c r="B594">
        <v>547</v>
      </c>
      <c r="C594" s="316">
        <v>34.75</v>
      </c>
      <c r="U594" s="316"/>
    </row>
    <row r="595" spans="1:21">
      <c r="A595" s="179">
        <v>44895</v>
      </c>
      <c r="B595">
        <v>548</v>
      </c>
      <c r="C595" s="316">
        <v>4.95</v>
      </c>
      <c r="U595" s="316"/>
    </row>
    <row r="596" spans="1:21">
      <c r="C596" s="28">
        <f>SUM(C537:C595)</f>
        <v>751.00000000000023</v>
      </c>
      <c r="U596" s="316"/>
    </row>
    <row r="597" spans="1:21">
      <c r="U597" s="316"/>
    </row>
    <row r="598" spans="1:21">
      <c r="U598" s="316"/>
    </row>
    <row r="599" spans="1:21">
      <c r="U599" s="316"/>
    </row>
    <row r="600" spans="1:21">
      <c r="A600" s="180">
        <v>44897</v>
      </c>
      <c r="B600" s="181">
        <v>1007</v>
      </c>
      <c r="C600" s="330">
        <v>11.5</v>
      </c>
      <c r="E600" s="235">
        <v>44896</v>
      </c>
      <c r="F600" s="236">
        <v>549</v>
      </c>
      <c r="G600" s="237">
        <v>52</v>
      </c>
      <c r="U600" s="316"/>
    </row>
    <row r="601" spans="1:21">
      <c r="A601" s="180">
        <v>44897</v>
      </c>
      <c r="B601" s="181">
        <v>1008</v>
      </c>
      <c r="C601" s="330">
        <v>11.25</v>
      </c>
      <c r="E601" s="235">
        <v>44896</v>
      </c>
      <c r="F601" s="236">
        <v>550</v>
      </c>
      <c r="G601" s="237">
        <v>7</v>
      </c>
      <c r="U601" s="316"/>
    </row>
    <row r="602" spans="1:21">
      <c r="A602" s="180">
        <v>44897</v>
      </c>
      <c r="B602" s="181">
        <v>1009</v>
      </c>
      <c r="C602" s="330">
        <v>10.5</v>
      </c>
      <c r="E602" s="235">
        <v>44896</v>
      </c>
      <c r="F602" s="236">
        <v>551</v>
      </c>
      <c r="G602" s="237">
        <v>6.75</v>
      </c>
      <c r="U602" s="316"/>
    </row>
    <row r="603" spans="1:21">
      <c r="A603" s="180">
        <v>44897</v>
      </c>
      <c r="B603" s="181">
        <v>1010</v>
      </c>
      <c r="C603" s="330">
        <v>11.25</v>
      </c>
      <c r="E603" s="235">
        <v>44897</v>
      </c>
      <c r="F603" s="236">
        <v>552</v>
      </c>
      <c r="G603" s="237">
        <v>17.850000000000001</v>
      </c>
      <c r="U603" s="316"/>
    </row>
    <row r="604" spans="1:21">
      <c r="A604" s="180">
        <v>44897</v>
      </c>
      <c r="B604" s="181">
        <v>1011</v>
      </c>
      <c r="C604" s="330">
        <v>12.75</v>
      </c>
      <c r="E604" s="235">
        <v>44897</v>
      </c>
      <c r="F604" s="236">
        <v>553</v>
      </c>
      <c r="G604" s="237">
        <v>4.5</v>
      </c>
      <c r="U604" s="316"/>
    </row>
    <row r="605" spans="1:21">
      <c r="A605" s="180">
        <v>44897</v>
      </c>
      <c r="B605" s="181">
        <v>1012</v>
      </c>
      <c r="C605" s="330">
        <v>11.25</v>
      </c>
      <c r="E605" s="186">
        <v>44898</v>
      </c>
      <c r="F605" s="187">
        <v>554</v>
      </c>
      <c r="G605" s="224">
        <v>50</v>
      </c>
      <c r="U605" s="316"/>
    </row>
    <row r="606" spans="1:21">
      <c r="A606" s="180">
        <v>44897</v>
      </c>
      <c r="B606" s="181">
        <v>1013</v>
      </c>
      <c r="C606" s="330">
        <v>10.25</v>
      </c>
      <c r="E606" s="186">
        <v>44898</v>
      </c>
      <c r="F606" s="187">
        <v>555</v>
      </c>
      <c r="G606" s="224">
        <v>8.4499999999999993</v>
      </c>
      <c r="U606" s="316"/>
    </row>
    <row r="607" spans="1:21">
      <c r="A607" s="180">
        <v>44897</v>
      </c>
      <c r="B607" s="181">
        <v>1014</v>
      </c>
      <c r="C607" s="330">
        <v>12</v>
      </c>
      <c r="E607" s="186">
        <v>44898</v>
      </c>
      <c r="F607" s="187">
        <v>556</v>
      </c>
      <c r="G607" s="224">
        <v>3.5</v>
      </c>
      <c r="U607" s="316"/>
    </row>
    <row r="608" spans="1:21">
      <c r="A608" s="180">
        <v>44897</v>
      </c>
      <c r="B608" s="181">
        <v>1015</v>
      </c>
      <c r="C608" s="330">
        <v>9.75</v>
      </c>
      <c r="E608" s="186">
        <v>44899</v>
      </c>
      <c r="F608" s="187">
        <v>557</v>
      </c>
      <c r="G608" s="224">
        <v>48.75</v>
      </c>
      <c r="U608" s="316"/>
    </row>
    <row r="609" spans="1:21">
      <c r="A609" s="180">
        <v>44897</v>
      </c>
      <c r="B609" s="181">
        <v>1016</v>
      </c>
      <c r="C609" s="330">
        <v>14</v>
      </c>
      <c r="E609" s="186">
        <v>44899</v>
      </c>
      <c r="F609" s="187">
        <v>558</v>
      </c>
      <c r="G609" s="224">
        <v>5.9</v>
      </c>
      <c r="U609" s="316"/>
    </row>
    <row r="610" spans="1:21">
      <c r="A610" s="180">
        <v>44897</v>
      </c>
      <c r="B610" s="181">
        <v>1017</v>
      </c>
      <c r="C610" s="330">
        <v>10.75</v>
      </c>
      <c r="E610" s="186">
        <v>44899</v>
      </c>
      <c r="F610" s="187">
        <v>559</v>
      </c>
      <c r="G610" s="224">
        <v>10.75</v>
      </c>
      <c r="U610" s="316"/>
    </row>
    <row r="611" spans="1:21">
      <c r="A611" s="180">
        <v>44897</v>
      </c>
      <c r="B611" s="181">
        <v>1018</v>
      </c>
      <c r="C611" s="330">
        <v>11.75</v>
      </c>
      <c r="E611" s="180">
        <v>44900</v>
      </c>
      <c r="F611" s="181">
        <v>560</v>
      </c>
      <c r="G611" s="330">
        <v>27</v>
      </c>
      <c r="U611" s="316"/>
    </row>
    <row r="612" spans="1:21">
      <c r="A612" s="180">
        <v>44897</v>
      </c>
      <c r="B612" s="181">
        <v>1019</v>
      </c>
      <c r="C612" s="330">
        <v>12.25</v>
      </c>
      <c r="E612" s="180">
        <v>44900</v>
      </c>
      <c r="F612" s="181">
        <v>561</v>
      </c>
      <c r="G612" s="330">
        <v>9.9499999999999993</v>
      </c>
      <c r="U612" s="316"/>
    </row>
    <row r="613" spans="1:21">
      <c r="A613" s="180">
        <v>44897</v>
      </c>
      <c r="B613" s="181">
        <v>1020</v>
      </c>
      <c r="C613" s="330">
        <v>10.5</v>
      </c>
      <c r="E613" s="180">
        <v>44900</v>
      </c>
      <c r="F613" s="181">
        <v>562</v>
      </c>
      <c r="G613" s="330">
        <v>4.4000000000000004</v>
      </c>
      <c r="U613" s="316"/>
    </row>
    <row r="614" spans="1:21">
      <c r="A614" s="180">
        <v>44897</v>
      </c>
      <c r="B614" s="181">
        <v>1021</v>
      </c>
      <c r="C614" s="330">
        <v>12</v>
      </c>
      <c r="E614" s="180">
        <v>44901</v>
      </c>
      <c r="F614" s="181">
        <v>563</v>
      </c>
      <c r="G614" s="330">
        <v>9.35</v>
      </c>
      <c r="U614" s="316"/>
    </row>
    <row r="615" spans="1:21">
      <c r="A615" s="180">
        <v>44897</v>
      </c>
      <c r="B615" s="181">
        <v>1022</v>
      </c>
      <c r="C615" s="330">
        <v>12</v>
      </c>
      <c r="E615" s="180">
        <v>44901</v>
      </c>
      <c r="F615" s="181">
        <v>564</v>
      </c>
      <c r="G615" s="330">
        <v>5</v>
      </c>
      <c r="U615" s="316"/>
    </row>
    <row r="616" spans="1:21">
      <c r="A616" s="180">
        <v>44897</v>
      </c>
      <c r="B616" s="181">
        <v>1023</v>
      </c>
      <c r="C616" s="330">
        <v>10</v>
      </c>
      <c r="E616" s="180">
        <v>44902</v>
      </c>
      <c r="F616" s="181">
        <v>565</v>
      </c>
      <c r="G616" s="330">
        <v>43.25</v>
      </c>
      <c r="U616" s="316"/>
    </row>
    <row r="617" spans="1:21">
      <c r="A617" s="180">
        <v>44897</v>
      </c>
      <c r="B617" s="181">
        <v>1024</v>
      </c>
      <c r="C617" s="330">
        <v>10.5</v>
      </c>
      <c r="E617" s="180">
        <v>44902</v>
      </c>
      <c r="F617" s="181">
        <v>566</v>
      </c>
      <c r="G617" s="330">
        <v>5</v>
      </c>
      <c r="U617" s="316"/>
    </row>
    <row r="618" spans="1:21">
      <c r="A618" s="180">
        <v>44897</v>
      </c>
      <c r="B618" s="181">
        <v>1025</v>
      </c>
      <c r="C618" s="330">
        <v>12.5</v>
      </c>
      <c r="E618" s="186">
        <v>44903</v>
      </c>
      <c r="F618" s="187">
        <v>567</v>
      </c>
      <c r="G618" s="224">
        <v>32</v>
      </c>
    </row>
    <row r="619" spans="1:21">
      <c r="A619" s="180">
        <v>44897</v>
      </c>
      <c r="B619" s="181">
        <v>1026</v>
      </c>
      <c r="C619" s="330">
        <v>10.25</v>
      </c>
      <c r="E619" s="186">
        <v>44903</v>
      </c>
      <c r="F619" s="187">
        <v>568</v>
      </c>
      <c r="G619" s="224">
        <v>4.2</v>
      </c>
    </row>
    <row r="620" spans="1:21">
      <c r="A620" s="180">
        <v>44897</v>
      </c>
      <c r="B620" s="181">
        <v>1027</v>
      </c>
      <c r="C620" s="330">
        <v>12</v>
      </c>
      <c r="E620" s="186">
        <v>44904</v>
      </c>
      <c r="F620" s="187">
        <v>569</v>
      </c>
      <c r="G620" s="224">
        <v>5.0999999999999996</v>
      </c>
    </row>
    <row r="621" spans="1:21">
      <c r="A621" s="180">
        <v>44897</v>
      </c>
      <c r="B621" s="181">
        <v>1028</v>
      </c>
      <c r="C621" s="330">
        <v>10</v>
      </c>
      <c r="E621" s="186">
        <v>44904</v>
      </c>
      <c r="F621" s="187">
        <v>570</v>
      </c>
      <c r="G621" s="224">
        <v>7</v>
      </c>
    </row>
    <row r="622" spans="1:21">
      <c r="A622" s="180">
        <v>44897</v>
      </c>
      <c r="B622" s="181">
        <v>1029</v>
      </c>
      <c r="C622" s="330">
        <v>9</v>
      </c>
      <c r="E622" s="180">
        <v>44905</v>
      </c>
      <c r="F622" s="181">
        <v>571</v>
      </c>
      <c r="G622" s="330">
        <v>75.75</v>
      </c>
    </row>
    <row r="623" spans="1:21">
      <c r="A623" s="364">
        <v>44902</v>
      </c>
      <c r="B623" s="166">
        <v>1030</v>
      </c>
      <c r="C623" s="340">
        <v>10.25</v>
      </c>
      <c r="D623" s="166"/>
      <c r="E623" s="180">
        <v>44905</v>
      </c>
      <c r="F623" s="181">
        <v>572</v>
      </c>
      <c r="G623" s="330">
        <v>7.6</v>
      </c>
    </row>
    <row r="624" spans="1:21">
      <c r="A624" s="364">
        <v>44902</v>
      </c>
      <c r="B624" s="166">
        <v>1031</v>
      </c>
      <c r="C624" s="340">
        <v>10</v>
      </c>
      <c r="D624" s="166"/>
      <c r="E624" s="180">
        <v>44905</v>
      </c>
      <c r="F624" s="181">
        <v>573</v>
      </c>
      <c r="G624" s="330">
        <v>5</v>
      </c>
    </row>
    <row r="625" spans="1:8">
      <c r="A625" s="364">
        <v>44902</v>
      </c>
      <c r="B625" s="166">
        <v>1032</v>
      </c>
      <c r="C625" s="340">
        <v>9.75</v>
      </c>
      <c r="D625" s="166"/>
      <c r="E625" s="180">
        <v>44907</v>
      </c>
      <c r="F625" s="181">
        <v>574</v>
      </c>
      <c r="G625" s="330">
        <v>20.5</v>
      </c>
    </row>
    <row r="626" spans="1:8">
      <c r="A626" s="364">
        <v>44902</v>
      </c>
      <c r="B626" s="166">
        <v>1033</v>
      </c>
      <c r="C626" s="340">
        <v>10.75</v>
      </c>
      <c r="D626" s="166"/>
      <c r="E626" s="180">
        <v>44907</v>
      </c>
      <c r="F626" s="181">
        <v>575</v>
      </c>
      <c r="G626" s="330">
        <v>4.9000000000000004</v>
      </c>
    </row>
    <row r="627" spans="1:8">
      <c r="A627" s="364">
        <v>44902</v>
      </c>
      <c r="B627" s="166">
        <v>1034</v>
      </c>
      <c r="C627" s="340">
        <v>12</v>
      </c>
      <c r="D627" s="166"/>
      <c r="E627" s="179">
        <v>44908</v>
      </c>
      <c r="F627">
        <v>576</v>
      </c>
      <c r="G627" s="316">
        <v>19.25</v>
      </c>
    </row>
    <row r="628" spans="1:8">
      <c r="A628" s="364">
        <v>44902</v>
      </c>
      <c r="B628" s="166">
        <v>1035</v>
      </c>
      <c r="C628" s="340">
        <v>11.25</v>
      </c>
      <c r="D628" s="166"/>
      <c r="E628" s="179">
        <v>44908</v>
      </c>
      <c r="F628">
        <v>577</v>
      </c>
      <c r="G628" s="316">
        <v>10.35</v>
      </c>
    </row>
    <row r="629" spans="1:8">
      <c r="A629" s="364">
        <v>44902</v>
      </c>
      <c r="B629" s="166">
        <v>1036</v>
      </c>
      <c r="C629" s="340">
        <v>10</v>
      </c>
      <c r="D629" s="166"/>
      <c r="E629" s="180">
        <v>44909</v>
      </c>
      <c r="F629" s="181">
        <v>578</v>
      </c>
      <c r="G629" s="330">
        <v>13.75</v>
      </c>
    </row>
    <row r="630" spans="1:8">
      <c r="A630" s="364">
        <v>44902</v>
      </c>
      <c r="B630" s="166">
        <v>1037</v>
      </c>
      <c r="C630" s="340">
        <v>10</v>
      </c>
      <c r="D630" s="166"/>
      <c r="E630" s="180">
        <v>44910</v>
      </c>
      <c r="F630" s="181">
        <v>579</v>
      </c>
      <c r="G630" s="330">
        <v>31.25</v>
      </c>
    </row>
    <row r="631" spans="1:8">
      <c r="A631" s="364">
        <v>44902</v>
      </c>
      <c r="B631" s="166">
        <v>1038</v>
      </c>
      <c r="C631" s="340">
        <v>12</v>
      </c>
      <c r="D631" s="166"/>
      <c r="E631" s="180">
        <v>44910</v>
      </c>
      <c r="F631" s="181">
        <v>580</v>
      </c>
      <c r="G631" s="330">
        <v>9.1</v>
      </c>
    </row>
    <row r="632" spans="1:8">
      <c r="A632" s="364">
        <v>44902</v>
      </c>
      <c r="B632" s="166">
        <v>1039</v>
      </c>
      <c r="C632" s="340">
        <v>10</v>
      </c>
      <c r="D632" s="166"/>
      <c r="E632" s="318">
        <v>44911</v>
      </c>
      <c r="F632" s="368">
        <v>581</v>
      </c>
      <c r="G632" s="369">
        <v>14.75</v>
      </c>
    </row>
    <row r="633" spans="1:8">
      <c r="A633" s="364">
        <v>44902</v>
      </c>
      <c r="B633" s="166">
        <v>1040</v>
      </c>
      <c r="C633" s="340">
        <v>10.5</v>
      </c>
      <c r="D633" s="166"/>
      <c r="E633" s="318">
        <v>44911</v>
      </c>
      <c r="F633" s="368">
        <v>582</v>
      </c>
      <c r="G633" s="369">
        <v>0</v>
      </c>
      <c r="H633" t="s">
        <v>608</v>
      </c>
    </row>
    <row r="634" spans="1:8">
      <c r="A634" s="364">
        <v>44902</v>
      </c>
      <c r="B634" s="166">
        <v>1041</v>
      </c>
      <c r="C634" s="340">
        <v>12</v>
      </c>
      <c r="D634" s="166"/>
      <c r="E634" s="318">
        <v>44911</v>
      </c>
      <c r="F634" s="368">
        <v>583</v>
      </c>
      <c r="G634" s="369">
        <v>37.5</v>
      </c>
    </row>
    <row r="635" spans="1:8">
      <c r="A635" s="364">
        <v>44902</v>
      </c>
      <c r="B635" s="166">
        <v>1042</v>
      </c>
      <c r="C635" s="340">
        <v>10</v>
      </c>
      <c r="D635" s="166"/>
      <c r="E635" s="318">
        <v>44911</v>
      </c>
      <c r="F635" s="368">
        <v>584</v>
      </c>
      <c r="G635" s="369">
        <v>6</v>
      </c>
    </row>
    <row r="636" spans="1:8">
      <c r="A636" s="364">
        <v>44902</v>
      </c>
      <c r="B636" s="166">
        <v>1043</v>
      </c>
      <c r="C636" s="340">
        <v>9.5</v>
      </c>
      <c r="D636" s="166"/>
      <c r="E636" s="318">
        <v>44911</v>
      </c>
      <c r="F636" s="368">
        <v>585</v>
      </c>
      <c r="G636" s="369">
        <v>3.4</v>
      </c>
    </row>
    <row r="637" spans="1:8">
      <c r="A637" s="364">
        <v>44902</v>
      </c>
      <c r="B637" s="166">
        <v>1044</v>
      </c>
      <c r="C637" s="340">
        <v>10.25</v>
      </c>
      <c r="D637" s="166"/>
      <c r="E637" s="186">
        <v>44912</v>
      </c>
      <c r="F637" s="187">
        <v>586</v>
      </c>
      <c r="G637" s="224">
        <v>75</v>
      </c>
    </row>
    <row r="638" spans="1:8">
      <c r="A638" s="364">
        <v>44902</v>
      </c>
      <c r="B638" s="166">
        <v>1045</v>
      </c>
      <c r="C638" s="340">
        <v>10.5</v>
      </c>
      <c r="D638" s="166"/>
      <c r="E638" s="186">
        <v>44912</v>
      </c>
      <c r="F638" s="187">
        <v>587</v>
      </c>
      <c r="G638" s="224">
        <v>21.25</v>
      </c>
    </row>
    <row r="639" spans="1:8">
      <c r="A639" s="364">
        <v>44902</v>
      </c>
      <c r="B639" s="166">
        <v>1046</v>
      </c>
      <c r="C639" s="340">
        <v>10.5</v>
      </c>
      <c r="D639" s="166"/>
      <c r="E639" s="186">
        <v>44912</v>
      </c>
      <c r="F639" s="187">
        <v>588</v>
      </c>
      <c r="G639" s="224">
        <v>7.5</v>
      </c>
    </row>
    <row r="640" spans="1:8">
      <c r="A640" s="364">
        <v>44902</v>
      </c>
      <c r="B640" s="166">
        <v>1047</v>
      </c>
      <c r="C640" s="340">
        <v>9</v>
      </c>
      <c r="D640" s="166"/>
      <c r="E640" s="186">
        <v>44913</v>
      </c>
      <c r="F640" s="187">
        <v>589</v>
      </c>
      <c r="G640" s="224">
        <v>21.25</v>
      </c>
    </row>
    <row r="641" spans="1:7">
      <c r="A641" s="364">
        <v>44902</v>
      </c>
      <c r="B641" s="166">
        <v>1048</v>
      </c>
      <c r="C641" s="340">
        <v>8</v>
      </c>
      <c r="D641" s="166"/>
      <c r="E641" s="186">
        <v>44913</v>
      </c>
      <c r="F641" s="187">
        <v>590</v>
      </c>
      <c r="G641" s="224">
        <v>4.75</v>
      </c>
    </row>
    <row r="642" spans="1:7">
      <c r="A642" s="331">
        <v>44904</v>
      </c>
      <c r="B642" s="250">
        <v>1049</v>
      </c>
      <c r="C642" s="251">
        <v>10</v>
      </c>
      <c r="D642" s="250"/>
      <c r="E642" s="186">
        <v>44913</v>
      </c>
      <c r="F642" s="187">
        <v>591</v>
      </c>
      <c r="G642" s="224">
        <v>3.7</v>
      </c>
    </row>
    <row r="643" spans="1:7">
      <c r="A643" s="331">
        <v>44904</v>
      </c>
      <c r="B643" s="250">
        <v>1050</v>
      </c>
      <c r="C643" s="251">
        <v>10</v>
      </c>
      <c r="D643" s="250"/>
      <c r="E643" s="179">
        <v>44914</v>
      </c>
      <c r="F643">
        <v>592</v>
      </c>
      <c r="G643" s="316">
        <v>23</v>
      </c>
    </row>
    <row r="644" spans="1:7">
      <c r="A644" s="250"/>
      <c r="B644" s="250"/>
      <c r="C644" s="250"/>
      <c r="D644" s="250"/>
      <c r="E644" s="179">
        <v>44914</v>
      </c>
      <c r="F644">
        <v>593</v>
      </c>
      <c r="G644" s="316">
        <v>11.5</v>
      </c>
    </row>
    <row r="645" spans="1:7">
      <c r="A645" s="331">
        <v>44904</v>
      </c>
      <c r="B645" s="250">
        <v>1051</v>
      </c>
      <c r="C645" s="251">
        <v>10</v>
      </c>
      <c r="D645" s="250"/>
      <c r="E645" s="179">
        <v>44914</v>
      </c>
      <c r="F645">
        <v>594</v>
      </c>
      <c r="G645" s="316">
        <v>4.0999999999999996</v>
      </c>
    </row>
    <row r="646" spans="1:7">
      <c r="A646" s="331">
        <v>44904</v>
      </c>
      <c r="B646" s="250">
        <v>1052</v>
      </c>
      <c r="C646" s="251">
        <v>11.25</v>
      </c>
      <c r="D646" s="250"/>
      <c r="E646" s="180">
        <v>44915</v>
      </c>
      <c r="F646" s="181">
        <v>595</v>
      </c>
      <c r="G646" s="330">
        <v>44.5</v>
      </c>
    </row>
    <row r="647" spans="1:7">
      <c r="A647" s="331">
        <v>44904</v>
      </c>
      <c r="B647" s="250">
        <v>1053</v>
      </c>
      <c r="C647" s="251">
        <v>10</v>
      </c>
      <c r="D647" s="250"/>
      <c r="E647" s="180">
        <v>44915</v>
      </c>
      <c r="F647" s="181">
        <v>596</v>
      </c>
      <c r="G647" s="330">
        <v>9.0500000000000007</v>
      </c>
    </row>
    <row r="648" spans="1:7">
      <c r="A648" s="331">
        <v>44904</v>
      </c>
      <c r="B648" s="250">
        <v>1054</v>
      </c>
      <c r="C648" s="251">
        <v>10</v>
      </c>
      <c r="D648" s="250"/>
      <c r="E648" s="180">
        <v>44916</v>
      </c>
      <c r="F648" s="181">
        <v>597</v>
      </c>
      <c r="G648" s="330">
        <v>13.75</v>
      </c>
    </row>
    <row r="649" spans="1:7">
      <c r="A649" s="331">
        <v>44904</v>
      </c>
      <c r="B649" s="250">
        <v>1055</v>
      </c>
      <c r="C649" s="251">
        <v>10</v>
      </c>
      <c r="D649" s="250"/>
      <c r="E649" s="180">
        <v>44916</v>
      </c>
      <c r="F649" s="181">
        <v>598</v>
      </c>
      <c r="G649" s="330">
        <v>6.25</v>
      </c>
    </row>
    <row r="650" spans="1:7">
      <c r="A650" s="331">
        <v>44904</v>
      </c>
      <c r="B650" s="250">
        <v>1056</v>
      </c>
      <c r="C650" s="251">
        <v>10</v>
      </c>
      <c r="D650" s="250"/>
      <c r="E650" s="318">
        <v>44917</v>
      </c>
      <c r="F650" s="368">
        <v>599</v>
      </c>
      <c r="G650" s="369">
        <v>25.5</v>
      </c>
    </row>
    <row r="651" spans="1:7">
      <c r="A651" s="331">
        <v>44904</v>
      </c>
      <c r="B651" s="250">
        <v>1057</v>
      </c>
      <c r="C651" s="251">
        <v>10</v>
      </c>
      <c r="D651" s="250"/>
      <c r="E651" s="318">
        <v>44917</v>
      </c>
      <c r="F651" s="368">
        <v>600</v>
      </c>
      <c r="G651" s="369">
        <v>8.0500000000000007</v>
      </c>
    </row>
    <row r="652" spans="1:7">
      <c r="A652" s="331">
        <v>44904</v>
      </c>
      <c r="B652" s="250">
        <v>1058</v>
      </c>
      <c r="C652" s="251">
        <v>10</v>
      </c>
      <c r="D652" s="250"/>
      <c r="E652" s="368"/>
      <c r="F652" s="368"/>
      <c r="G652" s="368"/>
    </row>
    <row r="653" spans="1:7">
      <c r="A653" s="331">
        <v>44904</v>
      </c>
      <c r="B653" s="250">
        <v>1059</v>
      </c>
      <c r="C653" s="251">
        <v>10</v>
      </c>
      <c r="D653" s="250"/>
      <c r="E653" s="318">
        <v>44918</v>
      </c>
      <c r="F653" s="368">
        <v>601</v>
      </c>
      <c r="G653" s="369">
        <v>178.5</v>
      </c>
    </row>
    <row r="654" spans="1:7">
      <c r="A654" s="331">
        <v>44904</v>
      </c>
      <c r="B654" s="250">
        <v>1060</v>
      </c>
      <c r="C654" s="251">
        <v>11.5</v>
      </c>
      <c r="D654" s="250"/>
      <c r="E654" s="318">
        <v>44918</v>
      </c>
      <c r="F654" s="368">
        <v>602</v>
      </c>
      <c r="G654" s="369">
        <v>96.5</v>
      </c>
    </row>
    <row r="655" spans="1:7">
      <c r="A655" s="331">
        <v>44904</v>
      </c>
      <c r="B655" s="250">
        <v>1061</v>
      </c>
      <c r="C655" s="251">
        <v>12</v>
      </c>
      <c r="D655" s="250"/>
      <c r="E655" s="318">
        <v>44918</v>
      </c>
      <c r="F655" s="368">
        <v>603</v>
      </c>
      <c r="G655" s="369">
        <v>7.3</v>
      </c>
    </row>
    <row r="656" spans="1:7">
      <c r="A656" s="331">
        <v>44904</v>
      </c>
      <c r="B656" s="250">
        <v>1062</v>
      </c>
      <c r="C656" s="251">
        <v>12</v>
      </c>
      <c r="D656" s="250"/>
      <c r="E656" s="179">
        <v>44919</v>
      </c>
      <c r="F656">
        <v>604</v>
      </c>
      <c r="G656" s="316">
        <v>119.75</v>
      </c>
    </row>
    <row r="657" spans="1:7">
      <c r="A657" s="331">
        <v>44904</v>
      </c>
      <c r="B657" s="250">
        <v>1063</v>
      </c>
      <c r="C657" s="251">
        <v>12.75</v>
      </c>
      <c r="D657" s="250"/>
      <c r="E657" s="179">
        <v>44919</v>
      </c>
      <c r="F657">
        <v>605</v>
      </c>
      <c r="G657" s="316">
        <v>5.45</v>
      </c>
    </row>
    <row r="658" spans="1:7">
      <c r="A658" s="331">
        <v>44904</v>
      </c>
      <c r="B658" s="250">
        <v>1064</v>
      </c>
      <c r="C658" s="251">
        <v>10.5</v>
      </c>
      <c r="D658" s="250"/>
      <c r="E658" s="186">
        <v>44922</v>
      </c>
      <c r="F658" s="187">
        <v>606</v>
      </c>
      <c r="G658" s="224">
        <v>9</v>
      </c>
    </row>
    <row r="659" spans="1:7">
      <c r="A659" s="331">
        <v>44904</v>
      </c>
      <c r="B659" s="250">
        <v>1065</v>
      </c>
      <c r="C659" s="251">
        <v>9</v>
      </c>
      <c r="D659" s="250"/>
      <c r="E659" s="186">
        <v>44923</v>
      </c>
      <c r="F659" s="187">
        <v>607</v>
      </c>
      <c r="G659" s="224">
        <v>45.35</v>
      </c>
    </row>
    <row r="660" spans="1:7">
      <c r="A660" s="331">
        <v>44904</v>
      </c>
      <c r="B660" s="250">
        <v>1066</v>
      </c>
      <c r="C660" s="251">
        <v>11.5</v>
      </c>
      <c r="D660" s="250"/>
      <c r="E660" s="186">
        <v>44923</v>
      </c>
      <c r="F660" s="187">
        <v>608</v>
      </c>
      <c r="G660" s="224">
        <v>24</v>
      </c>
    </row>
    <row r="661" spans="1:7">
      <c r="A661" s="331">
        <v>44904</v>
      </c>
      <c r="B661" s="250">
        <v>1067</v>
      </c>
      <c r="C661" s="251">
        <v>14</v>
      </c>
      <c r="D661" s="250"/>
      <c r="E661" s="179">
        <v>44924</v>
      </c>
      <c r="F661">
        <v>609</v>
      </c>
      <c r="G661" s="316">
        <v>44.75</v>
      </c>
    </row>
    <row r="662" spans="1:7">
      <c r="A662" s="331">
        <v>44904</v>
      </c>
      <c r="B662" s="250">
        <v>1068</v>
      </c>
      <c r="C662" s="251">
        <v>12</v>
      </c>
      <c r="D662" s="250"/>
      <c r="E662" s="179">
        <v>44924</v>
      </c>
      <c r="F662">
        <v>610</v>
      </c>
      <c r="G662" s="316">
        <v>9.1999999999999993</v>
      </c>
    </row>
    <row r="663" spans="1:7">
      <c r="A663" s="331">
        <v>44904</v>
      </c>
      <c r="B663" s="250">
        <v>1069</v>
      </c>
      <c r="C663" s="251">
        <v>13.25</v>
      </c>
      <c r="D663" s="250"/>
      <c r="E663" s="179">
        <v>44925</v>
      </c>
      <c r="F663">
        <v>611</v>
      </c>
      <c r="G663" s="316">
        <v>72</v>
      </c>
    </row>
    <row r="664" spans="1:7">
      <c r="A664" s="331">
        <v>44904</v>
      </c>
      <c r="B664" s="250">
        <v>1070</v>
      </c>
      <c r="C664" s="251">
        <v>12.5</v>
      </c>
      <c r="D664" s="250"/>
      <c r="E664" s="179">
        <v>44925</v>
      </c>
      <c r="F664">
        <v>612</v>
      </c>
      <c r="G664" s="316">
        <v>12.75</v>
      </c>
    </row>
    <row r="665" spans="1:7">
      <c r="A665" s="331">
        <v>44904</v>
      </c>
      <c r="B665" s="250">
        <v>1071</v>
      </c>
      <c r="C665" s="251">
        <v>10.25</v>
      </c>
      <c r="D665" s="250"/>
      <c r="E665" s="179">
        <v>44926</v>
      </c>
      <c r="F665">
        <v>613</v>
      </c>
      <c r="G665" s="316">
        <v>82.5</v>
      </c>
    </row>
    <row r="666" spans="1:7">
      <c r="A666" s="331">
        <v>44904</v>
      </c>
      <c r="B666" s="250">
        <v>1072</v>
      </c>
      <c r="C666" s="251">
        <v>12</v>
      </c>
      <c r="D666" s="250"/>
      <c r="E666" s="179">
        <v>44926</v>
      </c>
      <c r="F666">
        <v>614</v>
      </c>
      <c r="G666" s="316">
        <v>18</v>
      </c>
    </row>
    <row r="667" spans="1:7">
      <c r="A667" s="331">
        <v>44904</v>
      </c>
      <c r="B667" s="250">
        <v>1073</v>
      </c>
      <c r="C667" s="251">
        <v>13</v>
      </c>
      <c r="D667" s="250"/>
      <c r="G667" s="28">
        <f>SUM(G600:G666)</f>
        <v>1630.9999999999998</v>
      </c>
    </row>
    <row r="668" spans="1:7">
      <c r="A668" s="182">
        <v>44909</v>
      </c>
      <c r="B668" s="183">
        <v>1074</v>
      </c>
      <c r="C668" s="191">
        <v>10.5</v>
      </c>
      <c r="D668" s="183"/>
    </row>
    <row r="669" spans="1:7">
      <c r="A669" s="182">
        <v>44909</v>
      </c>
      <c r="B669" s="183">
        <v>1075</v>
      </c>
      <c r="C669" s="191">
        <v>11</v>
      </c>
      <c r="D669" s="183"/>
    </row>
    <row r="670" spans="1:7">
      <c r="A670" s="182">
        <v>44909</v>
      </c>
      <c r="B670" s="183">
        <v>1076</v>
      </c>
      <c r="C670" s="191">
        <v>12.5</v>
      </c>
      <c r="D670" s="183"/>
    </row>
    <row r="671" spans="1:7">
      <c r="A671" s="182">
        <v>44909</v>
      </c>
      <c r="B671" s="183">
        <v>1077</v>
      </c>
      <c r="C671" s="191">
        <v>11.25</v>
      </c>
      <c r="D671" s="183"/>
    </row>
    <row r="672" spans="1:7">
      <c r="A672" s="182">
        <v>44909</v>
      </c>
      <c r="B672" s="183">
        <v>1078</v>
      </c>
      <c r="C672" s="191">
        <v>10</v>
      </c>
      <c r="D672" s="183"/>
    </row>
    <row r="673" spans="1:4">
      <c r="A673" s="182">
        <v>44909</v>
      </c>
      <c r="B673" s="183">
        <v>1079</v>
      </c>
      <c r="C673" s="191">
        <v>10</v>
      </c>
      <c r="D673" s="183"/>
    </row>
    <row r="674" spans="1:4">
      <c r="A674" s="182">
        <v>44909</v>
      </c>
      <c r="B674" s="183">
        <v>1080</v>
      </c>
      <c r="C674" s="191">
        <v>10</v>
      </c>
      <c r="D674" s="183"/>
    </row>
    <row r="675" spans="1:4">
      <c r="A675" s="182">
        <v>44909</v>
      </c>
      <c r="B675" s="183">
        <v>1081</v>
      </c>
      <c r="C675" s="191">
        <v>10.75</v>
      </c>
      <c r="D675" s="183"/>
    </row>
    <row r="676" spans="1:4">
      <c r="A676" s="182">
        <v>44909</v>
      </c>
      <c r="B676" s="183">
        <v>1082</v>
      </c>
      <c r="C676" s="191">
        <v>12.25</v>
      </c>
      <c r="D676" s="183"/>
    </row>
    <row r="677" spans="1:4">
      <c r="A677" s="182">
        <v>44909</v>
      </c>
      <c r="B677" s="183">
        <v>1083</v>
      </c>
      <c r="C677" s="191">
        <v>11</v>
      </c>
      <c r="D677" s="183"/>
    </row>
    <row r="678" spans="1:4">
      <c r="A678" s="182">
        <v>44909</v>
      </c>
      <c r="B678" s="183">
        <v>1084</v>
      </c>
      <c r="C678" s="191">
        <v>11.5</v>
      </c>
      <c r="D678" s="183"/>
    </row>
    <row r="679" spans="1:4">
      <c r="A679" s="182">
        <v>44909</v>
      </c>
      <c r="B679" s="183">
        <v>1085</v>
      </c>
      <c r="C679" s="191">
        <v>12</v>
      </c>
      <c r="D679" s="183"/>
    </row>
    <row r="680" spans="1:4">
      <c r="A680" s="182">
        <v>44909</v>
      </c>
      <c r="B680" s="183">
        <v>1086</v>
      </c>
      <c r="C680" s="191">
        <v>10</v>
      </c>
      <c r="D680" s="183"/>
    </row>
    <row r="681" spans="1:4">
      <c r="A681" s="182">
        <v>44909</v>
      </c>
      <c r="B681" s="183">
        <v>1087</v>
      </c>
      <c r="C681" s="191">
        <v>8.75</v>
      </c>
      <c r="D681" s="183"/>
    </row>
    <row r="682" spans="1:4">
      <c r="A682" s="182">
        <v>44909</v>
      </c>
      <c r="B682" s="183">
        <v>1088</v>
      </c>
      <c r="C682" s="191">
        <v>12</v>
      </c>
      <c r="D682" s="183"/>
    </row>
    <row r="683" spans="1:4">
      <c r="A683" s="182">
        <v>44909</v>
      </c>
      <c r="B683" s="183">
        <v>1089</v>
      </c>
      <c r="C683" s="191">
        <v>12.25</v>
      </c>
      <c r="D683" s="183"/>
    </row>
    <row r="684" spans="1:4">
      <c r="A684" s="182">
        <v>44909</v>
      </c>
      <c r="B684" s="183">
        <v>1090</v>
      </c>
      <c r="C684" s="191">
        <v>12.75</v>
      </c>
      <c r="D684" s="183"/>
    </row>
    <row r="685" spans="1:4">
      <c r="A685" s="182">
        <v>44909</v>
      </c>
      <c r="B685" s="183">
        <v>1091</v>
      </c>
      <c r="C685" s="191">
        <v>12.5</v>
      </c>
      <c r="D685" s="183"/>
    </row>
    <row r="686" spans="1:4">
      <c r="A686" s="182">
        <v>44909</v>
      </c>
      <c r="B686" s="183">
        <v>1092</v>
      </c>
      <c r="C686" s="191">
        <v>12</v>
      </c>
      <c r="D686" s="183"/>
    </row>
    <row r="687" spans="1:4">
      <c r="A687" s="182">
        <v>44909</v>
      </c>
      <c r="B687" s="183">
        <v>1093</v>
      </c>
      <c r="C687" s="191">
        <v>12</v>
      </c>
      <c r="D687" s="183"/>
    </row>
    <row r="688" spans="1:4">
      <c r="A688" s="182">
        <v>44909</v>
      </c>
      <c r="B688" s="183">
        <v>1094</v>
      </c>
      <c r="C688" s="191">
        <v>12.5</v>
      </c>
      <c r="D688" s="183"/>
    </row>
    <row r="689" spans="1:4">
      <c r="A689" s="182">
        <v>44909</v>
      </c>
      <c r="B689" s="183">
        <v>1095</v>
      </c>
      <c r="C689" s="191">
        <v>13</v>
      </c>
      <c r="D689" s="183"/>
    </row>
    <row r="690" spans="1:4">
      <c r="A690" s="365">
        <v>44911</v>
      </c>
      <c r="B690" s="366">
        <v>1096</v>
      </c>
      <c r="C690" s="367">
        <v>8</v>
      </c>
    </row>
    <row r="691" spans="1:4">
      <c r="A691" s="365">
        <v>44911</v>
      </c>
      <c r="B691" s="366">
        <v>1097</v>
      </c>
      <c r="C691" s="367">
        <v>11.5</v>
      </c>
    </row>
    <row r="692" spans="1:4">
      <c r="A692" s="365">
        <v>44911</v>
      </c>
      <c r="B692" s="366">
        <v>1098</v>
      </c>
      <c r="C692" s="367">
        <v>11</v>
      </c>
    </row>
    <row r="693" spans="1:4">
      <c r="A693" s="365">
        <v>44911</v>
      </c>
      <c r="B693" s="366">
        <v>1099</v>
      </c>
      <c r="C693" s="367">
        <v>11</v>
      </c>
    </row>
    <row r="694" spans="1:4">
      <c r="A694" s="365">
        <v>44911</v>
      </c>
      <c r="B694" s="366">
        <v>1100</v>
      </c>
      <c r="C694" s="367">
        <v>10.25</v>
      </c>
    </row>
    <row r="695" spans="1:4">
      <c r="A695" s="366"/>
      <c r="B695" s="366"/>
      <c r="C695" s="366"/>
    </row>
    <row r="696" spans="1:4">
      <c r="A696" s="365">
        <v>44911</v>
      </c>
      <c r="B696" s="366">
        <v>1101</v>
      </c>
      <c r="C696" s="367">
        <v>10</v>
      </c>
    </row>
    <row r="697" spans="1:4">
      <c r="A697" s="365">
        <v>44911</v>
      </c>
      <c r="B697" s="366">
        <v>1102</v>
      </c>
      <c r="C697" s="367">
        <v>10</v>
      </c>
    </row>
    <row r="698" spans="1:4">
      <c r="A698" s="365">
        <v>44911</v>
      </c>
      <c r="B698" s="366">
        <v>1103</v>
      </c>
      <c r="C698" s="367">
        <v>12</v>
      </c>
    </row>
    <row r="699" spans="1:4">
      <c r="A699" s="365">
        <v>44911</v>
      </c>
      <c r="B699" s="366">
        <v>1104</v>
      </c>
      <c r="C699" s="367">
        <v>10</v>
      </c>
    </row>
    <row r="700" spans="1:4">
      <c r="A700" s="365">
        <v>44911</v>
      </c>
      <c r="B700" s="366">
        <v>1105</v>
      </c>
      <c r="C700" s="367">
        <v>10</v>
      </c>
    </row>
    <row r="701" spans="1:4">
      <c r="A701" s="365">
        <v>44911</v>
      </c>
      <c r="B701" s="366">
        <v>1106</v>
      </c>
      <c r="C701" s="367">
        <v>11</v>
      </c>
    </row>
    <row r="702" spans="1:4">
      <c r="A702" s="365">
        <v>44911</v>
      </c>
      <c r="B702" s="366">
        <v>1107</v>
      </c>
      <c r="C702" s="367">
        <v>10</v>
      </c>
    </row>
    <row r="703" spans="1:4">
      <c r="A703" s="365">
        <v>44911</v>
      </c>
      <c r="B703" s="366">
        <v>1108</v>
      </c>
      <c r="C703" s="367">
        <v>11</v>
      </c>
    </row>
    <row r="704" spans="1:4">
      <c r="A704" s="365">
        <v>44911</v>
      </c>
      <c r="B704" s="366">
        <v>1109</v>
      </c>
      <c r="C704" s="367">
        <v>10</v>
      </c>
    </row>
    <row r="705" spans="1:3">
      <c r="A705" s="365">
        <v>44911</v>
      </c>
      <c r="B705" s="366">
        <v>1110</v>
      </c>
      <c r="C705" s="367">
        <v>10.25</v>
      </c>
    </row>
    <row r="706" spans="1:3">
      <c r="A706" s="365">
        <v>44911</v>
      </c>
      <c r="B706" s="366">
        <v>1111</v>
      </c>
      <c r="C706" s="367">
        <v>10</v>
      </c>
    </row>
    <row r="707" spans="1:3">
      <c r="A707" s="365">
        <v>44911</v>
      </c>
      <c r="B707" s="366">
        <v>1112</v>
      </c>
      <c r="C707" s="367">
        <v>9</v>
      </c>
    </row>
    <row r="708" spans="1:3">
      <c r="A708" s="365">
        <v>44911</v>
      </c>
      <c r="B708" s="366">
        <v>1113</v>
      </c>
      <c r="C708" s="367">
        <v>13.25</v>
      </c>
    </row>
    <row r="709" spans="1:3">
      <c r="A709" s="365">
        <v>44911</v>
      </c>
      <c r="B709" s="366">
        <v>1114</v>
      </c>
      <c r="C709" s="367">
        <v>12</v>
      </c>
    </row>
    <row r="710" spans="1:3">
      <c r="A710" s="365">
        <v>44911</v>
      </c>
      <c r="B710" s="366">
        <v>1115</v>
      </c>
      <c r="C710" s="367">
        <v>10</v>
      </c>
    </row>
    <row r="711" spans="1:3">
      <c r="A711" s="365">
        <v>44911</v>
      </c>
      <c r="B711" s="366">
        <v>1116</v>
      </c>
      <c r="C711" s="367">
        <v>10.25</v>
      </c>
    </row>
    <row r="712" spans="1:3">
      <c r="A712" s="365">
        <v>44911</v>
      </c>
      <c r="B712" s="366">
        <v>1117</v>
      </c>
      <c r="C712" s="367">
        <v>10.25</v>
      </c>
    </row>
    <row r="713" spans="1:3">
      <c r="A713" s="365">
        <v>44911</v>
      </c>
      <c r="B713" s="366">
        <v>1118</v>
      </c>
      <c r="C713" s="367">
        <v>12.25</v>
      </c>
    </row>
    <row r="714" spans="1:3">
      <c r="A714" s="365">
        <v>44911</v>
      </c>
      <c r="B714" s="366">
        <v>1119</v>
      </c>
      <c r="C714" s="367">
        <v>10.5</v>
      </c>
    </row>
    <row r="715" spans="1:3">
      <c r="A715" s="365">
        <v>44911</v>
      </c>
      <c r="B715" s="366">
        <v>1120</v>
      </c>
      <c r="C715" s="367">
        <v>11</v>
      </c>
    </row>
    <row r="716" spans="1:3">
      <c r="A716" s="365">
        <v>44911</v>
      </c>
      <c r="B716" s="366">
        <v>1121</v>
      </c>
      <c r="C716" s="367">
        <v>12</v>
      </c>
    </row>
    <row r="717" spans="1:3">
      <c r="A717" s="365">
        <v>44911</v>
      </c>
      <c r="B717" s="366">
        <v>1122</v>
      </c>
      <c r="C717" s="367">
        <v>11.25</v>
      </c>
    </row>
    <row r="718" spans="1:3">
      <c r="A718" s="365">
        <v>44911</v>
      </c>
      <c r="B718" s="366">
        <v>1123</v>
      </c>
      <c r="C718" s="367">
        <v>10.5</v>
      </c>
    </row>
    <row r="719" spans="1:3">
      <c r="A719" s="365">
        <v>44911</v>
      </c>
      <c r="B719" s="366">
        <v>1124</v>
      </c>
      <c r="C719" s="367">
        <v>13.25</v>
      </c>
    </row>
    <row r="720" spans="1:3">
      <c r="A720" s="365">
        <v>44911</v>
      </c>
      <c r="B720" s="366">
        <v>1125</v>
      </c>
      <c r="C720" s="367">
        <v>11</v>
      </c>
    </row>
    <row r="721" spans="1:3">
      <c r="A721" s="365">
        <v>44911</v>
      </c>
      <c r="B721" s="366">
        <v>1126</v>
      </c>
      <c r="C721" s="367">
        <v>12</v>
      </c>
    </row>
    <row r="722" spans="1:3">
      <c r="A722" s="365">
        <v>44911</v>
      </c>
      <c r="B722" s="366">
        <v>1127</v>
      </c>
      <c r="C722" s="367">
        <v>12</v>
      </c>
    </row>
    <row r="723" spans="1:3">
      <c r="A723" s="365">
        <v>44911</v>
      </c>
      <c r="B723" s="366">
        <v>1128</v>
      </c>
      <c r="C723" s="367">
        <v>12.25</v>
      </c>
    </row>
    <row r="724" spans="1:3">
      <c r="A724" s="365">
        <v>44911</v>
      </c>
      <c r="B724" s="366">
        <v>1129</v>
      </c>
      <c r="C724" s="367">
        <v>10.75</v>
      </c>
    </row>
    <row r="725" spans="1:3">
      <c r="A725" s="365">
        <v>44911</v>
      </c>
      <c r="B725" s="366">
        <v>1130</v>
      </c>
      <c r="C725" s="367">
        <v>11</v>
      </c>
    </row>
    <row r="726" spans="1:3">
      <c r="A726" s="365">
        <v>44911</v>
      </c>
      <c r="B726" s="366">
        <v>1131</v>
      </c>
      <c r="C726" s="367">
        <v>11</v>
      </c>
    </row>
    <row r="727" spans="1:3">
      <c r="A727" s="180">
        <v>44916</v>
      </c>
      <c r="B727" s="181">
        <v>1132</v>
      </c>
      <c r="C727" s="330">
        <v>9.5</v>
      </c>
    </row>
    <row r="728" spans="1:3">
      <c r="A728" s="180">
        <v>44916</v>
      </c>
      <c r="B728" s="181">
        <v>1133</v>
      </c>
      <c r="C728" s="330">
        <v>11.5</v>
      </c>
    </row>
    <row r="729" spans="1:3">
      <c r="A729" s="180">
        <v>44916</v>
      </c>
      <c r="B729" s="181">
        <v>1134</v>
      </c>
      <c r="C729" s="330">
        <v>11</v>
      </c>
    </row>
    <row r="730" spans="1:3">
      <c r="A730" s="180">
        <v>44916</v>
      </c>
      <c r="B730" s="181">
        <v>1135</v>
      </c>
      <c r="C730" s="330">
        <v>14.5</v>
      </c>
    </row>
    <row r="731" spans="1:3">
      <c r="A731" s="180">
        <v>44916</v>
      </c>
      <c r="B731" s="181">
        <v>1136</v>
      </c>
      <c r="C731" s="330">
        <v>10.25</v>
      </c>
    </row>
    <row r="732" spans="1:3">
      <c r="A732" s="180">
        <v>44916</v>
      </c>
      <c r="B732" s="181">
        <v>1137</v>
      </c>
      <c r="C732" s="330">
        <v>10</v>
      </c>
    </row>
    <row r="733" spans="1:3">
      <c r="A733" s="180">
        <v>44916</v>
      </c>
      <c r="B733" s="181">
        <v>1138</v>
      </c>
      <c r="C733" s="330">
        <v>16</v>
      </c>
    </row>
    <row r="734" spans="1:3">
      <c r="A734" s="180">
        <v>44916</v>
      </c>
      <c r="B734" s="181">
        <v>1139</v>
      </c>
      <c r="C734" s="330">
        <v>13</v>
      </c>
    </row>
    <row r="735" spans="1:3">
      <c r="A735" s="180">
        <v>44916</v>
      </c>
      <c r="B735" s="181">
        <v>1140</v>
      </c>
      <c r="C735" s="330">
        <v>13</v>
      </c>
    </row>
    <row r="736" spans="1:3">
      <c r="A736" s="180">
        <v>44916</v>
      </c>
      <c r="B736" s="181">
        <v>1141</v>
      </c>
      <c r="C736" s="330">
        <v>11.5</v>
      </c>
    </row>
    <row r="737" spans="1:3">
      <c r="A737" s="180">
        <v>44916</v>
      </c>
      <c r="B737" s="181">
        <v>1142</v>
      </c>
      <c r="C737" s="330">
        <v>11.5</v>
      </c>
    </row>
    <row r="738" spans="1:3">
      <c r="A738" s="180">
        <v>44916</v>
      </c>
      <c r="B738" s="181">
        <v>1143</v>
      </c>
      <c r="C738" s="330">
        <v>12</v>
      </c>
    </row>
    <row r="739" spans="1:3">
      <c r="A739" s="180">
        <v>44916</v>
      </c>
      <c r="B739" s="181">
        <v>1144</v>
      </c>
      <c r="C739" s="330">
        <v>8.25</v>
      </c>
    </row>
    <row r="740" spans="1:3">
      <c r="A740" s="180">
        <v>44916</v>
      </c>
      <c r="B740" s="181">
        <v>1145</v>
      </c>
      <c r="C740" s="330">
        <v>10</v>
      </c>
    </row>
    <row r="741" spans="1:3">
      <c r="A741" s="180">
        <v>44916</v>
      </c>
      <c r="B741" s="181">
        <v>1146</v>
      </c>
      <c r="C741" s="330">
        <v>15</v>
      </c>
    </row>
    <row r="742" spans="1:3">
      <c r="A742" s="180">
        <v>44916</v>
      </c>
      <c r="B742" s="181">
        <v>1147</v>
      </c>
      <c r="C742" s="330">
        <v>10</v>
      </c>
    </row>
    <row r="743" spans="1:3">
      <c r="A743" s="180">
        <v>44916</v>
      </c>
      <c r="B743" s="181">
        <v>1148</v>
      </c>
      <c r="C743" s="330">
        <v>12.5</v>
      </c>
    </row>
    <row r="744" spans="1:3">
      <c r="A744" s="180">
        <v>44916</v>
      </c>
      <c r="B744" s="181">
        <v>1149</v>
      </c>
      <c r="C744" s="330">
        <v>11</v>
      </c>
    </row>
    <row r="745" spans="1:3">
      <c r="A745" s="180">
        <v>44916</v>
      </c>
      <c r="B745" s="181">
        <v>1150</v>
      </c>
      <c r="C745" s="330">
        <v>10.75</v>
      </c>
    </row>
    <row r="746" spans="1:3">
      <c r="A746" s="181"/>
      <c r="B746" s="181"/>
      <c r="C746" s="181"/>
    </row>
    <row r="747" spans="1:3">
      <c r="A747" s="180">
        <v>44916</v>
      </c>
      <c r="B747" s="181">
        <v>1151</v>
      </c>
      <c r="C747" s="330">
        <v>10</v>
      </c>
    </row>
    <row r="748" spans="1:3">
      <c r="A748" s="180">
        <v>44916</v>
      </c>
      <c r="B748" s="181">
        <v>1152</v>
      </c>
      <c r="C748" s="330">
        <v>11</v>
      </c>
    </row>
    <row r="749" spans="1:3">
      <c r="A749" s="184">
        <v>44918</v>
      </c>
      <c r="B749" s="185">
        <v>1153</v>
      </c>
      <c r="C749" s="220">
        <v>12</v>
      </c>
    </row>
    <row r="750" spans="1:3">
      <c r="A750" s="184">
        <v>44918</v>
      </c>
      <c r="B750" s="185">
        <v>1154</v>
      </c>
      <c r="C750" s="220">
        <v>10.75</v>
      </c>
    </row>
    <row r="751" spans="1:3">
      <c r="A751" s="184">
        <v>44918</v>
      </c>
      <c r="B751" s="185">
        <v>1155</v>
      </c>
      <c r="C751" s="220">
        <v>11.75</v>
      </c>
    </row>
    <row r="752" spans="1:3">
      <c r="A752" s="184">
        <v>44918</v>
      </c>
      <c r="B752" s="185">
        <v>1156</v>
      </c>
      <c r="C752" s="220">
        <v>10.75</v>
      </c>
    </row>
    <row r="753" spans="1:3">
      <c r="A753" s="184">
        <v>44918</v>
      </c>
      <c r="B753" s="185">
        <v>1157</v>
      </c>
      <c r="C753" s="220">
        <v>10</v>
      </c>
    </row>
    <row r="754" spans="1:3">
      <c r="A754" s="184">
        <v>44918</v>
      </c>
      <c r="B754" s="185">
        <v>1158</v>
      </c>
      <c r="C754" s="220">
        <v>10</v>
      </c>
    </row>
    <row r="755" spans="1:3">
      <c r="A755" s="184">
        <v>44918</v>
      </c>
      <c r="B755" s="185">
        <v>1159</v>
      </c>
      <c r="C755" s="220">
        <v>10.5</v>
      </c>
    </row>
    <row r="756" spans="1:3">
      <c r="A756" s="184">
        <v>44918</v>
      </c>
      <c r="B756" s="185">
        <v>1160</v>
      </c>
      <c r="C756" s="220">
        <v>10</v>
      </c>
    </row>
    <row r="757" spans="1:3">
      <c r="A757" s="184">
        <v>44918</v>
      </c>
      <c r="B757" s="185">
        <v>1161</v>
      </c>
      <c r="C757" s="220">
        <v>10</v>
      </c>
    </row>
    <row r="758" spans="1:3">
      <c r="A758" s="184">
        <v>44918</v>
      </c>
      <c r="B758" s="185">
        <v>1162</v>
      </c>
      <c r="C758" s="220">
        <v>8</v>
      </c>
    </row>
    <row r="759" spans="1:3">
      <c r="A759" s="184">
        <v>44918</v>
      </c>
      <c r="B759" s="185">
        <v>1163</v>
      </c>
      <c r="C759" s="220">
        <v>10</v>
      </c>
    </row>
    <row r="760" spans="1:3">
      <c r="A760" s="184">
        <v>44918</v>
      </c>
      <c r="B760" s="185">
        <v>1164</v>
      </c>
      <c r="C760" s="220">
        <v>11</v>
      </c>
    </row>
    <row r="761" spans="1:3">
      <c r="A761" s="184">
        <v>44918</v>
      </c>
      <c r="B761" s="185">
        <v>1165</v>
      </c>
      <c r="C761" s="220">
        <v>11</v>
      </c>
    </row>
    <row r="762" spans="1:3">
      <c r="A762" s="184">
        <v>44918</v>
      </c>
      <c r="B762" s="185">
        <v>1166</v>
      </c>
      <c r="C762" s="220">
        <v>11</v>
      </c>
    </row>
    <row r="763" spans="1:3">
      <c r="A763" s="184">
        <v>44918</v>
      </c>
      <c r="B763" s="185">
        <v>1167</v>
      </c>
      <c r="C763" s="220">
        <v>12.25</v>
      </c>
    </row>
    <row r="764" spans="1:3">
      <c r="A764" s="184">
        <v>44918</v>
      </c>
      <c r="B764" s="185">
        <v>1168</v>
      </c>
      <c r="C764" s="220">
        <v>10</v>
      </c>
    </row>
    <row r="765" spans="1:3">
      <c r="A765" s="184">
        <v>44918</v>
      </c>
      <c r="B765" s="185">
        <v>1169</v>
      </c>
      <c r="C765" s="220">
        <v>12</v>
      </c>
    </row>
    <row r="766" spans="1:3">
      <c r="A766" s="184">
        <v>44918</v>
      </c>
      <c r="B766" s="185">
        <v>1170</v>
      </c>
      <c r="C766" s="220">
        <v>10.5</v>
      </c>
    </row>
    <row r="767" spans="1:3">
      <c r="A767" s="184">
        <v>44918</v>
      </c>
      <c r="B767" s="185">
        <v>1171</v>
      </c>
      <c r="C767" s="220">
        <v>11.25</v>
      </c>
    </row>
    <row r="768" spans="1:3">
      <c r="A768" s="184">
        <v>44918</v>
      </c>
      <c r="B768" s="185">
        <v>1172</v>
      </c>
      <c r="C768" s="220">
        <v>12</v>
      </c>
    </row>
    <row r="769" spans="1:3">
      <c r="A769" s="184">
        <v>44918</v>
      </c>
      <c r="B769" s="185">
        <v>1173</v>
      </c>
      <c r="C769" s="220">
        <v>11.25</v>
      </c>
    </row>
    <row r="770" spans="1:3">
      <c r="A770" s="184">
        <v>44918</v>
      </c>
      <c r="B770" s="185">
        <v>1174</v>
      </c>
      <c r="C770" s="220">
        <v>10.5</v>
      </c>
    </row>
    <row r="771" spans="1:3">
      <c r="A771" s="184">
        <v>44918</v>
      </c>
      <c r="B771" s="185">
        <v>1175</v>
      </c>
      <c r="C771" s="220">
        <v>10</v>
      </c>
    </row>
    <row r="772" spans="1:3">
      <c r="A772" s="184">
        <v>44918</v>
      </c>
      <c r="B772" s="185">
        <v>1176</v>
      </c>
      <c r="C772" s="220">
        <v>11.5</v>
      </c>
    </row>
    <row r="773" spans="1:3">
      <c r="A773" s="184">
        <v>44918</v>
      </c>
      <c r="B773" s="185">
        <v>1177</v>
      </c>
      <c r="C773" s="220">
        <v>12.5</v>
      </c>
    </row>
    <row r="774" spans="1:3">
      <c r="A774" s="184">
        <v>44918</v>
      </c>
      <c r="B774" s="185">
        <v>1178</v>
      </c>
      <c r="C774" s="220">
        <v>10.5</v>
      </c>
    </row>
    <row r="775" spans="1:3">
      <c r="A775" s="184">
        <v>44918</v>
      </c>
      <c r="B775" s="185">
        <v>1179</v>
      </c>
      <c r="C775" s="220">
        <v>12.75</v>
      </c>
    </row>
    <row r="776" spans="1:3">
      <c r="A776" s="184">
        <v>44918</v>
      </c>
      <c r="B776" s="185">
        <v>1180</v>
      </c>
      <c r="C776" s="220">
        <v>12</v>
      </c>
    </row>
    <row r="777" spans="1:3">
      <c r="A777" s="235">
        <v>44923</v>
      </c>
      <c r="B777" s="236">
        <v>1181</v>
      </c>
      <c r="C777" s="237">
        <v>11.25</v>
      </c>
    </row>
    <row r="778" spans="1:3">
      <c r="A778" s="235">
        <v>44923</v>
      </c>
      <c r="B778" s="236">
        <v>1182</v>
      </c>
      <c r="C778" s="237">
        <v>10.75</v>
      </c>
    </row>
    <row r="779" spans="1:3">
      <c r="A779" s="235">
        <v>44923</v>
      </c>
      <c r="B779" s="236">
        <v>1183</v>
      </c>
      <c r="C779" s="237">
        <v>10.5</v>
      </c>
    </row>
    <row r="780" spans="1:3">
      <c r="A780" s="235">
        <v>44923</v>
      </c>
      <c r="B780" s="236">
        <v>1184</v>
      </c>
      <c r="C780" s="237">
        <v>11.75</v>
      </c>
    </row>
    <row r="781" spans="1:3">
      <c r="A781" s="235">
        <v>44923</v>
      </c>
      <c r="B781" s="236">
        <v>1185</v>
      </c>
      <c r="C781" s="237">
        <v>10.25</v>
      </c>
    </row>
    <row r="782" spans="1:3">
      <c r="A782" s="235">
        <v>44923</v>
      </c>
      <c r="B782" s="236">
        <v>1186</v>
      </c>
      <c r="C782" s="237">
        <v>10</v>
      </c>
    </row>
    <row r="783" spans="1:3">
      <c r="A783" s="235">
        <v>44923</v>
      </c>
      <c r="B783" s="236">
        <v>1187</v>
      </c>
      <c r="C783" s="237">
        <v>10</v>
      </c>
    </row>
    <row r="784" spans="1:3">
      <c r="A784" s="235">
        <v>44923</v>
      </c>
      <c r="B784" s="236">
        <v>1188</v>
      </c>
      <c r="C784" s="237">
        <v>12</v>
      </c>
    </row>
    <row r="785" spans="1:3">
      <c r="A785" s="235">
        <v>44923</v>
      </c>
      <c r="B785" s="236">
        <v>1189</v>
      </c>
      <c r="C785" s="237">
        <v>8.25</v>
      </c>
    </row>
    <row r="786" spans="1:3">
      <c r="A786" s="235">
        <v>44923</v>
      </c>
      <c r="B786" s="236">
        <v>1190</v>
      </c>
      <c r="C786" s="237">
        <v>10.5</v>
      </c>
    </row>
    <row r="787" spans="1:3">
      <c r="A787" s="235">
        <v>44923</v>
      </c>
      <c r="B787" s="236">
        <v>1191</v>
      </c>
      <c r="C787" s="237">
        <v>11.75</v>
      </c>
    </row>
    <row r="788" spans="1:3">
      <c r="A788" s="235">
        <v>44923</v>
      </c>
      <c r="B788" s="236">
        <v>1192</v>
      </c>
      <c r="C788" s="237">
        <v>10.5</v>
      </c>
    </row>
    <row r="789" spans="1:3">
      <c r="A789" s="235">
        <v>44923</v>
      </c>
      <c r="B789" s="236">
        <v>1193</v>
      </c>
      <c r="C789" s="237">
        <v>11.25</v>
      </c>
    </row>
    <row r="790" spans="1:3">
      <c r="A790" s="235">
        <v>44923</v>
      </c>
      <c r="B790" s="236">
        <v>1194</v>
      </c>
      <c r="C790" s="237">
        <v>11.25</v>
      </c>
    </row>
    <row r="791" spans="1:3">
      <c r="A791" s="235">
        <v>44923</v>
      </c>
      <c r="B791" s="236">
        <v>1195</v>
      </c>
      <c r="C791" s="237">
        <v>10.75</v>
      </c>
    </row>
    <row r="792" spans="1:3">
      <c r="A792" s="235">
        <v>44923</v>
      </c>
      <c r="B792" s="236">
        <v>1196</v>
      </c>
      <c r="C792" s="237">
        <v>10.75</v>
      </c>
    </row>
    <row r="793" spans="1:3">
      <c r="A793" s="235">
        <v>44923</v>
      </c>
      <c r="B793" s="236">
        <v>1197</v>
      </c>
      <c r="C793" s="237">
        <v>11.75</v>
      </c>
    </row>
    <row r="794" spans="1:3">
      <c r="A794" s="235">
        <v>44923</v>
      </c>
      <c r="B794" s="236">
        <v>1198</v>
      </c>
      <c r="C794" s="237">
        <v>10.5</v>
      </c>
    </row>
    <row r="795" spans="1:3">
      <c r="A795" s="235">
        <v>44923</v>
      </c>
      <c r="B795" s="236">
        <v>1199</v>
      </c>
      <c r="C795" s="237">
        <v>10.5</v>
      </c>
    </row>
    <row r="796" spans="1:3">
      <c r="A796" s="235">
        <v>44923</v>
      </c>
      <c r="B796" s="236">
        <v>1200</v>
      </c>
      <c r="C796" s="237">
        <v>12</v>
      </c>
    </row>
    <row r="798" spans="1:3">
      <c r="A798" s="179">
        <v>44925</v>
      </c>
      <c r="B798">
        <v>1201</v>
      </c>
      <c r="C798" s="316">
        <v>11.5</v>
      </c>
    </row>
    <row r="799" spans="1:3">
      <c r="A799" s="179">
        <v>44925</v>
      </c>
      <c r="B799">
        <v>1202</v>
      </c>
      <c r="C799" s="316">
        <v>12</v>
      </c>
    </row>
    <row r="800" spans="1:3">
      <c r="A800" s="179">
        <v>44925</v>
      </c>
      <c r="B800">
        <v>1203</v>
      </c>
      <c r="C800" s="316">
        <v>11.5</v>
      </c>
    </row>
    <row r="801" spans="1:3">
      <c r="A801" s="179">
        <v>44925</v>
      </c>
      <c r="B801">
        <v>1204</v>
      </c>
      <c r="C801" s="316">
        <v>8.25</v>
      </c>
    </row>
    <row r="802" spans="1:3">
      <c r="A802" s="179">
        <v>44925</v>
      </c>
      <c r="B802">
        <v>1205</v>
      </c>
      <c r="C802" s="316">
        <v>10.25</v>
      </c>
    </row>
    <row r="803" spans="1:3">
      <c r="A803" s="179">
        <v>44925</v>
      </c>
      <c r="B803">
        <v>1206</v>
      </c>
      <c r="C803" s="316">
        <v>12</v>
      </c>
    </row>
    <row r="804" spans="1:3">
      <c r="A804" s="179">
        <v>44925</v>
      </c>
      <c r="B804">
        <v>1207</v>
      </c>
      <c r="C804" s="316">
        <v>10.5</v>
      </c>
    </row>
    <row r="805" spans="1:3">
      <c r="A805" s="179">
        <v>44925</v>
      </c>
      <c r="B805">
        <v>1208</v>
      </c>
      <c r="C805" s="316">
        <v>12</v>
      </c>
    </row>
    <row r="806" spans="1:3">
      <c r="A806" s="179">
        <v>44925</v>
      </c>
      <c r="B806">
        <v>1209</v>
      </c>
      <c r="C806" s="316">
        <v>12.75</v>
      </c>
    </row>
    <row r="807" spans="1:3">
      <c r="A807" s="179">
        <v>44925</v>
      </c>
      <c r="B807">
        <v>1210</v>
      </c>
      <c r="C807" s="316">
        <v>10</v>
      </c>
    </row>
    <row r="808" spans="1:3">
      <c r="A808" s="179">
        <v>44925</v>
      </c>
      <c r="B808">
        <v>1211</v>
      </c>
      <c r="C808" s="316">
        <v>12</v>
      </c>
    </row>
    <row r="809" spans="1:3">
      <c r="A809" s="179">
        <v>44925</v>
      </c>
      <c r="B809">
        <v>1212</v>
      </c>
      <c r="C809" s="316">
        <v>10.5</v>
      </c>
    </row>
    <row r="810" spans="1:3">
      <c r="A810" s="179">
        <v>44925</v>
      </c>
      <c r="B810">
        <v>1213</v>
      </c>
      <c r="C810" s="316">
        <v>11.5</v>
      </c>
    </row>
    <row r="811" spans="1:3">
      <c r="A811" s="179">
        <v>44925</v>
      </c>
      <c r="B811">
        <v>1214</v>
      </c>
      <c r="C811" s="316">
        <v>11.75</v>
      </c>
    </row>
    <row r="812" spans="1:3">
      <c r="A812" s="179">
        <v>44925</v>
      </c>
      <c r="B812">
        <v>1215</v>
      </c>
      <c r="C812" s="316">
        <v>10</v>
      </c>
    </row>
    <row r="813" spans="1:3">
      <c r="A813" s="179">
        <v>44925</v>
      </c>
      <c r="B813">
        <v>1216</v>
      </c>
      <c r="C813" s="316">
        <v>9.75</v>
      </c>
    </row>
    <row r="814" spans="1:3">
      <c r="A814" s="179">
        <v>44925</v>
      </c>
      <c r="B814">
        <v>1217</v>
      </c>
      <c r="C814" s="316">
        <v>10</v>
      </c>
    </row>
    <row r="815" spans="1:3">
      <c r="A815" s="179">
        <v>44925</v>
      </c>
      <c r="B815">
        <v>1218</v>
      </c>
      <c r="C815" s="316">
        <v>13.5</v>
      </c>
    </row>
    <row r="816" spans="1:3">
      <c r="A816" s="179">
        <v>44925</v>
      </c>
      <c r="B816">
        <v>1219</v>
      </c>
      <c r="C816" s="316">
        <v>11.25</v>
      </c>
    </row>
    <row r="817" spans="1:3">
      <c r="A817" s="179">
        <v>44925</v>
      </c>
      <c r="B817">
        <v>1220</v>
      </c>
      <c r="C817" s="316">
        <v>13.25</v>
      </c>
    </row>
    <row r="818" spans="1:3">
      <c r="A818" s="179">
        <v>44925</v>
      </c>
      <c r="B818">
        <v>1221</v>
      </c>
      <c r="C818" s="316">
        <v>10.25</v>
      </c>
    </row>
    <row r="819" spans="1:3">
      <c r="A819" s="179">
        <v>44925</v>
      </c>
      <c r="B819">
        <v>1222</v>
      </c>
      <c r="C819" s="316">
        <v>11.25</v>
      </c>
    </row>
    <row r="820" spans="1:3">
      <c r="A820" s="179">
        <v>44925</v>
      </c>
      <c r="B820">
        <v>1223</v>
      </c>
      <c r="C820" s="316">
        <v>13</v>
      </c>
    </row>
    <row r="821" spans="1:3">
      <c r="A821" s="179">
        <v>44925</v>
      </c>
      <c r="B821">
        <v>1224</v>
      </c>
      <c r="C821" s="316">
        <v>11.25</v>
      </c>
    </row>
    <row r="822" spans="1:3">
      <c r="A822" s="179">
        <v>44925</v>
      </c>
      <c r="B822">
        <v>1225</v>
      </c>
      <c r="C822" s="316">
        <v>12</v>
      </c>
    </row>
    <row r="823" spans="1:3">
      <c r="A823" s="179">
        <v>44925</v>
      </c>
      <c r="B823">
        <v>1226</v>
      </c>
      <c r="C823" s="316">
        <v>11.25</v>
      </c>
    </row>
    <row r="824" spans="1:3">
      <c r="A824" s="179">
        <v>44925</v>
      </c>
      <c r="B824">
        <v>1227</v>
      </c>
      <c r="C824" s="316">
        <v>10</v>
      </c>
    </row>
    <row r="825" spans="1:3">
      <c r="C825" s="190">
        <f>SUM(C600:C824)</f>
        <v>2441.25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VTAS A CONT.</vt:lpstr>
      <vt:lpstr>COMPRAS</vt:lpstr>
      <vt:lpstr>VENTAS A CONSUMIDORES</vt:lpstr>
      <vt:lpstr>FEBRERO</vt:lpstr>
      <vt:lpstr>ENERO</vt:lpstr>
      <vt:lpstr>clave</vt:lpstr>
      <vt:lpstr>Abril</vt:lpstr>
    </vt:vector>
  </TitlesOfParts>
  <Company>ACOPACTO DE R.L.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ACOPACTO</dc:creator>
  <cp:lastModifiedBy>Milton Rivas</cp:lastModifiedBy>
  <cp:lastPrinted>2023-02-13T03:48:37Z</cp:lastPrinted>
  <dcterms:created xsi:type="dcterms:W3CDTF">2001-10-17T14:12:03Z</dcterms:created>
  <dcterms:modified xsi:type="dcterms:W3CDTF">2023-03-13T02:10:26Z</dcterms:modified>
</cp:coreProperties>
</file>